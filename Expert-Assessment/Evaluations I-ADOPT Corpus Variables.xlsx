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bmaga\Downloads\"/>
    </mc:Choice>
  </mc:AlternateContent>
  <xr:revisionPtr revIDLastSave="0" documentId="13_ncr:1_{ECD2361E-C416-4276-9B96-34C53287F040}" xr6:coauthVersionLast="47" xr6:coauthVersionMax="47" xr10:uidLastSave="{00000000-0000-0000-0000-000000000000}"/>
  <bookViews>
    <workbookView xWindow="-120" yWindow="-120" windowWidth="29040" windowHeight="15720" activeTab="5" xr2:uid="{00000000-000D-0000-FFFF-FFFF00000000}"/>
  </bookViews>
  <sheets>
    <sheet name="1 reviews" sheetId="1" r:id="rId1"/>
    <sheet name="2 domain statistics" sheetId="2" r:id="rId2"/>
    <sheet name="3 review_analysis" sheetId="3" r:id="rId3"/>
    <sheet name="4 LLM_output" sheetId="4" r:id="rId4"/>
    <sheet name="5 evaluation property" sheetId="5" r:id="rId5"/>
    <sheet name="6 evaluation variable" sheetId="6" r:id="rId6"/>
  </sheets>
  <definedNames>
    <definedName name="_xlnm._FilterDatabase" localSheetId="0" hidden="1">'1 reviews'!$B$1:$AC$952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4" i="6" l="1"/>
  <c r="E105" i="6" s="1"/>
  <c r="D104" i="6"/>
  <c r="D105" i="6" s="1"/>
  <c r="C104" i="6"/>
  <c r="C105" i="6" s="1"/>
  <c r="B104" i="6"/>
  <c r="B105" i="6" s="1"/>
  <c r="L2" i="6"/>
  <c r="L3" i="6" s="1"/>
  <c r="K2" i="6"/>
  <c r="K3" i="6" s="1"/>
  <c r="J2" i="6"/>
  <c r="J3" i="6" s="1"/>
  <c r="I2" i="6"/>
  <c r="I3" i="6" s="1"/>
  <c r="L6" i="3"/>
  <c r="J6" i="3"/>
  <c r="H6" i="3"/>
  <c r="F6" i="3"/>
  <c r="D6" i="3"/>
  <c r="L5" i="3"/>
  <c r="J5" i="3"/>
  <c r="H5" i="3"/>
  <c r="F5" i="3"/>
  <c r="D5" i="3"/>
  <c r="L4" i="3"/>
  <c r="J4" i="3"/>
  <c r="H4" i="3"/>
  <c r="F4" i="3"/>
  <c r="D4" i="3"/>
  <c r="L3" i="3"/>
  <c r="J3" i="3"/>
  <c r="H3" i="3"/>
  <c r="F3" i="3"/>
  <c r="D3" i="3"/>
  <c r="L2" i="3"/>
  <c r="J2" i="3"/>
  <c r="H2" i="3"/>
  <c r="F2" i="3"/>
  <c r="D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30" authorId="0" shapeId="0" xr:uid="{00000000-0006-0000-0000-000002000000}">
      <text>
        <r>
          <rPr>
            <sz val="10"/>
            <color rgb="FF000000"/>
            <rFont val="Arial"/>
            <scheme val="minor"/>
          </rPr>
          <t>The variable title can be changed to : Cellular dose in vitro of nanomaterials (mass / cell)
	-Indrani Mahapatra</t>
        </r>
      </text>
    </comment>
    <comment ref="D31" authorId="0" shapeId="0" xr:uid="{00000000-0006-0000-0000-000001000000}">
      <text>
        <r>
          <rPr>
            <sz val="10"/>
            <color rgb="FF000000"/>
            <rFont val="Arial"/>
            <scheme val="minor"/>
          </rPr>
          <t>The variable title can be changed to "Cellular dose in vitro of nanomaterials" (number of particles/cell)
	-Indrani Mahapatra</t>
        </r>
      </text>
    </comment>
  </commentList>
</comments>
</file>

<file path=xl/sharedStrings.xml><?xml version="1.0" encoding="utf-8"?>
<sst xmlns="http://schemas.openxmlformats.org/spreadsheetml/2006/main" count="4067" uniqueCount="707">
  <si>
    <t>Area</t>
  </si>
  <si>
    <t>Domain</t>
  </si>
  <si>
    <t>Variable</t>
  </si>
  <si>
    <t>Nr.</t>
  </si>
  <si>
    <t>who</t>
  </si>
  <si>
    <r>
      <rPr>
        <b/>
        <sz val="10"/>
        <color theme="1"/>
        <rFont val="Arial"/>
        <family val="2"/>
      </rPr>
      <t>Correctness</t>
    </r>
    <r>
      <rPr>
        <sz val="10"/>
        <color theme="1"/>
        <rFont val="Arial"/>
        <family val="2"/>
      </rPr>
      <t>: Is the representation capturing the variable correctly?</t>
    </r>
  </si>
  <si>
    <r>
      <rPr>
        <b/>
        <sz val="10"/>
        <color theme="1"/>
        <rFont val="Arial"/>
        <family val="2"/>
      </rPr>
      <t>Genericity</t>
    </r>
    <r>
      <rPr>
        <sz val="10"/>
        <color theme="1"/>
        <rFont val="Arial"/>
        <family val="2"/>
      </rPr>
      <t>: Are the entity labels for Object of Interest and Matrix generic enough to be reusable for other variable descriptions?</t>
    </r>
  </si>
  <si>
    <r>
      <rPr>
        <b/>
        <sz val="10"/>
        <color theme="1"/>
        <rFont val="Arial"/>
        <family val="2"/>
      </rPr>
      <t>Completeness</t>
    </r>
    <r>
      <rPr>
        <sz val="10"/>
        <color theme="1"/>
        <rFont val="Arial"/>
        <family val="2"/>
      </rPr>
      <t>: Is the representation explicit and comprehensive enough to cover the relevant parts of the variable description?</t>
    </r>
  </si>
  <si>
    <r>
      <rPr>
        <b/>
        <sz val="10"/>
        <color theme="1"/>
        <rFont val="Arial"/>
        <family val="2"/>
      </rPr>
      <t>Conciseness</t>
    </r>
    <r>
      <rPr>
        <sz val="10"/>
        <color theme="1"/>
        <rFont val="Arial"/>
        <family val="2"/>
      </rPr>
      <t>: Does the representation of the variable include only I-ADOPT-relevant descriptions without redundancies in terms of methods and units, etc?</t>
    </r>
  </si>
  <si>
    <r>
      <rPr>
        <b/>
        <sz val="10"/>
        <color theme="1"/>
        <rFont val="Arial"/>
        <family val="2"/>
      </rPr>
      <t>Understandability</t>
    </r>
    <r>
      <rPr>
        <sz val="10"/>
        <color theme="1"/>
        <rFont val="Arial"/>
        <family val="2"/>
      </rPr>
      <t>: Is the representation, including its decomposition into atomic elements, easy to understand?</t>
    </r>
  </si>
  <si>
    <t>What changes, if any, would you suggest to improve the representation?</t>
  </si>
  <si>
    <t>Comment</t>
  </si>
  <si>
    <t>Comment Barbara</t>
  </si>
  <si>
    <t>Done</t>
  </si>
  <si>
    <t>Physical and Chemical Sciences</t>
  </si>
  <si>
    <t>Atmospheric Science</t>
  </si>
  <si>
    <t>Air daily maximum temperature</t>
  </si>
  <si>
    <t>Morgan</t>
  </si>
  <si>
    <t>no, barely</t>
  </si>
  <si>
    <t>yes, partially</t>
  </si>
  <si>
    <t>yes, fully</t>
  </si>
  <si>
    <t xml:space="preserve">We prefer the simple version at the top of the github page, where the object of interest is the air and the height constrains the property. </t>
  </si>
  <si>
    <t xml:space="preserve">It's awkward to constrain the 'air'. </t>
  </si>
  <si>
    <t>agreed to accept it with mappings</t>
  </si>
  <si>
    <t>Engineering and Technology</t>
  </si>
  <si>
    <t>Engineering</t>
  </si>
  <si>
    <t>Angle of Attack</t>
  </si>
  <si>
    <t>The object of interest should be 'Aircraft'. The chord line and wind direction could become parts of the Angle of Attack, but they are not necessary as they describing how the Angle of Attack is measured.</t>
  </si>
  <si>
    <t>changed accordingly</t>
  </si>
  <si>
    <t>Atmosphere optical thickness due to particulate organic matter</t>
  </si>
  <si>
    <t xml:space="preserve">We prefer either using 'organic particles' or 'particulate organics' as the object of interest. It's not correct to say particulates of matter. The ambient conditions also don't constrain the aerosol. It's a constraint on the property, but it's related to the sampling procedure whether the measurement was dried or not from the ambient air. </t>
  </si>
  <si>
    <t>changed to particles, constraining the type; got rid of ambient conditions</t>
  </si>
  <si>
    <t>Atmospheric boundary layer heights</t>
  </si>
  <si>
    <t xml:space="preserve">The atmospheric boundary layer is not due to a temperature inversion. It's defined by the temperature inversion. The first iteration of decomposition on the github page is perferred for this case. </t>
  </si>
  <si>
    <t>yes you are right</t>
  </si>
  <si>
    <t>Social and Risk Sciences</t>
  </si>
  <si>
    <t>Sociology</t>
  </si>
  <si>
    <t>Average number of persons without high school</t>
  </si>
  <si>
    <t>Markus</t>
  </si>
  <si>
    <t>I think the 3 years are not a constraint on the statistical modifier (average) but on the diploma in the past three years?</t>
  </si>
  <si>
    <t>changed</t>
  </si>
  <si>
    <t>Biological sex</t>
  </si>
  <si>
    <t>Milena</t>
  </si>
  <si>
    <t>Life and Health Sciences</t>
  </si>
  <si>
    <t>Health science</t>
  </si>
  <si>
    <t>Blood pressure</t>
  </si>
  <si>
    <t>I am not able to answer this question</t>
  </si>
  <si>
    <t>Blood pressure can be systolic and diastolic: only one is mentioned</t>
  </si>
  <si>
    <t>checked internally</t>
  </si>
  <si>
    <t>BMI</t>
  </si>
  <si>
    <t>had to be simplified</t>
  </si>
  <si>
    <t>Chemistry</t>
  </si>
  <si>
    <t>boiling point of benzene under standard conditions</t>
  </si>
  <si>
    <t>Dirk</t>
  </si>
  <si>
    <t>Chronic pain</t>
  </si>
  <si>
    <t>Pain is trmendously variable in individual patients; the descriptive scale of levels of exprceived pain is sometimes biased. It cannot be even connected to the same amount of painkiller medication. It is mainly descriptive, but have to be assesed individually. I noticed added entity 'chronic', but there are some other categories. Medical classification recognize Nociceptive, Neuropatic and 'other'. Can also be acute.</t>
  </si>
  <si>
    <t>changed patient to person plus role: patient</t>
  </si>
  <si>
    <t>Materials Science</t>
  </si>
  <si>
    <t>Circulation method in canalisation pipe</t>
  </si>
  <si>
    <t>Judith</t>
  </si>
  <si>
    <t>property: (circulation) mode</t>
  </si>
  <si>
    <t>Cloud cover</t>
  </si>
  <si>
    <t xml:space="preserve">Prefer simple version at top of github page. A measurement is not relative to the 'total sky', so sky is not generic and breaks down if applied to other variables. </t>
  </si>
  <si>
    <t xml:space="preserve">Cloud measurements are typically over just a portion of the atmosphere (height, specific location, a point). Model results or satellite datasets that have grids and pixels are not represented by the term 'sky' very well. I understand you want to have an asymmetric system because it's a ratio but it's overcomplicating the variable in this case and it would be better to not have it be asymmetric. Or a different term has to be used other than sky. </t>
  </si>
  <si>
    <t>accepted</t>
  </si>
  <si>
    <t>Earth and Environmental Sciences</t>
  </si>
  <si>
    <t>Ecology</t>
  </si>
  <si>
    <t>Coarse woody debris abundance per hectare</t>
  </si>
  <si>
    <t>Andrea</t>
  </si>
  <si>
    <t>I don't really see "Coarse woody debris"as a reausable entity.  If you can constrain the entity, I woul specify the "coarse" there. Was a bit tricky to understand why property is "area fraction" instead of "abundance", but then i hot it and it make sense.</t>
  </si>
  <si>
    <t>this is a very specific and used term in the domain and should not be further decomposed</t>
  </si>
  <si>
    <t>Environmental Chemistry</t>
  </si>
  <si>
    <t>concentration of AI cations</t>
  </si>
  <si>
    <t>Katarina</t>
  </si>
  <si>
    <t>Concentration of DDT at site</t>
  </si>
  <si>
    <t>concentration of dissolved organic carbon in water</t>
  </si>
  <si>
    <t>Concentration of endosulfan sulfate in wet flesh of Ostrea edulis</t>
  </si>
  <si>
    <t>why "Ostrea edulkis" is not the matrix?</t>
  </si>
  <si>
    <t>You are completely right, I have corrected it</t>
  </si>
  <si>
    <t>Concentration of isobutylene</t>
  </si>
  <si>
    <t>I do not see what the "ratio:mass per volume" constraint adds; this is, in my understanding, the same as mass concentration</t>
  </si>
  <si>
    <t>country of birth of your mother</t>
  </si>
  <si>
    <t>Current smoking status</t>
  </si>
  <si>
    <t>Somewhere should be mentioned that this is considered behavioural thing, as smoking represents recognized risk for cardiovascular disease for example, might fall in cathegory of possible behavioural changes intervention.</t>
  </si>
  <si>
    <t>Daily Maximum Hourly Precipitation Rate</t>
  </si>
  <si>
    <t xml:space="preserve">Constraint "precipitation" rather than "rain" would perhaps be better. </t>
  </si>
  <si>
    <t xml:space="preserve">date of birth </t>
  </si>
  <si>
    <t>Esteban</t>
  </si>
  <si>
    <t>I have added a comment about the consistency between the entity and the constraint</t>
  </si>
  <si>
    <t>Date of last PCR test</t>
  </si>
  <si>
    <t>Dario</t>
  </si>
  <si>
    <r>
      <t xml:space="preserve">I would use latest instead of last, as it donotes 'to date', i.e. not the final. I can understand the argument against this as the variable does state last, but I feel latest is more accurate. Also, the matrix is not nessicarily a patient (could be healthy), and may not even be human. I would use subject instead (with e.g. </t>
    </r>
    <r>
      <rPr>
        <u/>
        <sz val="10"/>
        <color rgb="FF1155CC"/>
        <rFont val="Arial"/>
        <family val="2"/>
      </rPr>
      <t>https://www.wikidata.org/wiki/Q830077 ).</t>
    </r>
  </si>
  <si>
    <t>density of benzene</t>
  </si>
  <si>
    <t>I wouldn't expect the size constraint to play a role in the variable definition</t>
  </si>
  <si>
    <t>Depolarization Ratio</t>
  </si>
  <si>
    <t>not at all</t>
  </si>
  <si>
    <t>Comments in github.</t>
  </si>
  <si>
    <t>changed according to suggestions</t>
  </si>
  <si>
    <t>Oceanography</t>
  </si>
  <si>
    <t>Direction of radial velocity of water current</t>
  </si>
  <si>
    <t>Lorenzo</t>
  </si>
  <si>
    <t>Modify the variable name to "Direction of radial velocity of water current relative to instrument and True North in the water body by high frequency radar"</t>
  </si>
  <si>
    <t>The variable name in the decomposition should be "Direction of radial velocity of water current relative to instrument and True North in the water body by high frequency radar", for homogeneity with the RDVA name.</t>
  </si>
  <si>
    <t>Judith fix: "sign meaning: positive degree clockwise"</t>
  </si>
  <si>
    <t>Distance to nearest neighbour habitat patch</t>
  </si>
  <si>
    <t>Can't we constrain the property by saying that should be the "smaller" distance? I'm unsure though if i understood the variable correctly.</t>
  </si>
  <si>
    <t>distance requires two entities and can only be defined via a system</t>
  </si>
  <si>
    <t>Biology</t>
  </si>
  <si>
    <t>Docosahexaenoic acid content per dry weight</t>
  </si>
  <si>
    <t>not an expert, but would the organism not be a contextual entity/matrix if we draw the parallel to the persons above?
And the denominator could be organic material with a "dry" constraint
I could just as well see "dry matter" to be the matrix, though.</t>
  </si>
  <si>
    <t>Toxicology</t>
  </si>
  <si>
    <t>Dose of applied nanomaterial internalised (mass per cell area)</t>
  </si>
  <si>
    <t>Indrani</t>
  </si>
  <si>
    <t>The two entities would be nanomaterials and cells. We are assuming spherical particles of uniform size to be able to estimate no. of nanoparticles/ cell or mass of nanoparticles per cell. The NPs can perhaps be coated with a capping agent to avoid too much agglomeration in media.General enough, yet not very general (as nanomaterials have a huge range) - genericity. The constraint will be location: intracellular, and property will be number of particles/cell or mass/cell. Sometimes NPs can get attached to the cell membrane thereby "suffocating" the cell, hence making the location as intracellular means the NMs has to be internalised.  Matrix can be "cells". For cell layers in cell culture dishes, NP dose deposited is expressed as microg/m2 of cell surface and includes the cells firmly associated with the cell surface/membrane.
Defintion/ explanation of the variable:Mass of NMs internalised into the cell over the duration of the experiment (this definition will handle the concentration difference of NMs due to longer exposure time)</t>
  </si>
  <si>
    <t>I have implemented the changes</t>
  </si>
  <si>
    <t>Dose of applied nanomaterial internalised (particle number per cell area)</t>
  </si>
  <si>
    <t>Property:particle number per cell; Entity: cell, matrix: Cell. Defintion/ explanation of the variable: Number of particles internalised into the cell over the duration of the experiment (this definition will handle the concentration difference of NMs due to longer exposure time)</t>
  </si>
  <si>
    <t>Material science</t>
  </si>
  <si>
    <t>Dynamic shear viscosity of polystyrene PS042</t>
  </si>
  <si>
    <t>Sirko</t>
  </si>
  <si>
    <t>OoI should be one entity instead of entity+constraint; although you will be hard-pressed to find an existing IRI for that substance</t>
  </si>
  <si>
    <t>fixed in agreement with reviewer</t>
  </si>
  <si>
    <t>Eastward velocity of water current</t>
  </si>
  <si>
    <t>Modify the description to "Uncertainty of the eastward component of water velocity in a water body". Add the typology of the contraints (location: at the surface and type: eastward)</t>
  </si>
  <si>
    <t>The variable name in column B is wrong. It should say "Eastward velocity uncertainty of water current". The description of the variable in the decomposition is wrong. It should say "Uncertainty of the eastward component of water velocity in a water body". The typology of the two contraints has to be added (location: at the surface and type: eastward)</t>
  </si>
  <si>
    <t>Barbara: actually I wanted the simplier form here, without the uncertainty</t>
  </si>
  <si>
    <t>Eastward velocity uncertainty of water current</t>
  </si>
  <si>
    <t>Space physics</t>
  </si>
  <si>
    <t>Electron density in the solar wind</t>
  </si>
  <si>
    <t>I really don't have the knowledge to correctly asses this variable.</t>
  </si>
  <si>
    <t>checked with sirko</t>
  </si>
  <si>
    <t>estimation of the energy of reaction per mole upon combustion of hexanol</t>
  </si>
  <si>
    <t>Energy released means - exothermic (so perhaps, the variable name can be "estimation of energy released during combustion of hexanol". Am not sure whether combustion reaction can be a matrix. In 82, I see "solubility" as a property, in NP ones, I see number of particles/cell as a property, in 80, I see "molarity" as a property, therefore, here, energy can be KJ/mol? Don't we need a constraint for combustion, like something which starts the combustion process. Under property, do we need the temporant constraint of chemical reaction?</t>
  </si>
  <si>
    <t>Feral-free enclosure area</t>
  </si>
  <si>
    <t>has property: area; has constraint: maximum; has entity: ground; has constraints: close &amp; free of feral (I would prefer free of predators to generalise?)</t>
  </si>
  <si>
    <t>I do not see where maximum comes from, enclosure means an area for holding animals and thus must be kept as such</t>
  </si>
  <si>
    <t>Disaster risk science</t>
  </si>
  <si>
    <t>Flood Risk Mobility</t>
  </si>
  <si>
    <t>If in #90 ratio can be an object of interest, we is here "inded" a property? I don't know how the index is computed, but I presume it is computed somehow. Can the variable be interpreted as "The index of flood risk ..."?</t>
  </si>
  <si>
    <t>ratio is just a name for the blank node, it can be actually empty</t>
  </si>
  <si>
    <t>Foliage projective cover</t>
  </si>
  <si>
    <t>"foliage" is not generic as "photosyntetic tissue". What I  think is missing in the atomisation of this variable is that it is not capturing that what we the variable is measurting is actually the projection of the canopy on the ground. Right now looks like it is measuring the foliage that is coveringa certain percentage of the ground after falling from the plant.</t>
  </si>
  <si>
    <t>we can only extract terms from the description. The how (method) is outside of I-ADOPT</t>
  </si>
  <si>
    <t>Foraminifera, planktic, size</t>
  </si>
  <si>
    <t>Fraction of flooded area around building</t>
  </si>
  <si>
    <t>I am somewhat suprised by ratio being the object of interest, and not the "area around the building" with a property of being flooded.</t>
  </si>
  <si>
    <t>the system is used to represent the ratio between the two areas, the flooded area and the surrounding area</t>
  </si>
  <si>
    <t>Geodesy</t>
  </si>
  <si>
    <t>GDOP quality flag</t>
  </si>
  <si>
    <t>To be kept for review.</t>
  </si>
  <si>
    <t>This should be reviewed, because VART_QC variable does not only apply to HCSS (i.e. to the radial variance). It could also apply to the eastward and northward variances of total data. Eastward and northward variances do not exist as variables for total data, but they can be evaluated starting from eastward and northward standard deviations.</t>
  </si>
  <si>
    <t>variable changed</t>
  </si>
  <si>
    <t>Geometric dilution of precision</t>
  </si>
  <si>
    <t>judith: accepted</t>
  </si>
  <si>
    <t>Radioecology</t>
  </si>
  <si>
    <t>Global fallout of U-236</t>
  </si>
  <si>
    <t>Anne</t>
  </si>
  <si>
    <t>I would change Property label from "atoms per mass" by "concentration" or "amount content"., "abundance"</t>
  </si>
  <si>
    <t>I am a bit unsure about the location:global because we do not capture the "origin". I don't know if origin:global would be possible/better</t>
  </si>
  <si>
    <t>Heart rate variability</t>
  </si>
  <si>
    <t xml:space="preserve">While heart rate variability (HRV) depends on many tings in physiology, mentioning only muscle contraction is incomplete. It depends on Autunomic Nervous system, on central control, breathing, the level of NO etc. </t>
  </si>
  <si>
    <t>highest education</t>
  </si>
  <si>
    <t>IN 113 we use person instead of patient</t>
  </si>
  <si>
    <t>hours of family activity per week</t>
  </si>
  <si>
    <t>I129 deposition from Ringhals of Sweden</t>
  </si>
  <si>
    <t>Change Property label from "atoms per mass" by "concentration" or "amount content"., "abundance".</t>
  </si>
  <si>
    <t>Ice concentration</t>
  </si>
  <si>
    <t xml:space="preserve">It would be better to say ice particles. You can also just make the object of interest the ice particles and the matrix atmosphere. </t>
  </si>
  <si>
    <t>The description would be better to say "Mass concentration of ice particles suspended in the atmosphere measured in g/m3".</t>
  </si>
  <si>
    <t>I changed it to water constrained by state: solid</t>
  </si>
  <si>
    <t>Geochemistry</t>
  </si>
  <si>
    <t>Iron concentration in a soil sample by colorimetric analysis using ortho-phenanthroline</t>
  </si>
  <si>
    <t>If we map 83 and 82, 80 is too generic. These instances aren't uniformly represented. I prefer Stuart Chalk's representation as it aligns better with 83, 82. Also, the numerator and denominator (Ferrous iron as denominator and soil as numerator somehow doesn't make sense.</t>
  </si>
  <si>
    <t>Labile detrital nitrogen concentration in the seabed (3D) in moleN/kgSed</t>
  </si>
  <si>
    <t>I have assumed the latest changes discussed over zoom, where ool is an asymmetric system with study area as denominator and matrix with an unknown source (so asymmetric, source = 'source'</t>
  </si>
  <si>
    <t>mass concentration of tbph in breast milk</t>
  </si>
  <si>
    <t>Dirk + Dario</t>
  </si>
  <si>
    <r>
      <t xml:space="preserve">would not use person but subject, more specificic could be mammal ( </t>
    </r>
    <r>
      <rPr>
        <u/>
        <sz val="10"/>
        <color rgb="FF1155CC"/>
        <rFont val="Arial"/>
        <family val="2"/>
      </rPr>
      <t>https://www.wikidata.org/wiki/Q7377</t>
    </r>
    <r>
      <rPr>
        <sz val="10"/>
        <color rgb="FF000000"/>
        <rFont val="Arial"/>
        <scheme val="minor"/>
      </rPr>
      <t xml:space="preserve"> ) </t>
    </r>
  </si>
  <si>
    <t>Dirk: no reason to deviate from the person approach, but it makes it more obvious that the milk can (and maybe should) be a matrix entity on itself, expecially when looking at it as an exposure source in the context of a child.</t>
  </si>
  <si>
    <t>Mass flux of carbon into soil from vegetation due to senescence</t>
  </si>
  <si>
    <t>about genericity, I think that the concept "from vegetation to soil" could be even more general with "from living organism to ground", but of course this also add more abstraction to the variable</t>
  </si>
  <si>
    <t>the system is actually a blank node and does not necessitate any label</t>
  </si>
  <si>
    <t>mass ratio of dehp in nail</t>
  </si>
  <si>
    <t>again would not use person but subject</t>
  </si>
  <si>
    <t>it is a person, it is in the context of clinical studies
Dirk: agreed</t>
  </si>
  <si>
    <t>Maximum trunk char height</t>
  </si>
  <si>
    <t>from my understanding, char is abbreviation for charcoal, I wonder why not using charcoal instead? But I'm not native speaker so I'm not sure</t>
  </si>
  <si>
    <r>
      <t xml:space="preserve">We use: </t>
    </r>
    <r>
      <rPr>
        <u/>
        <sz val="10"/>
        <color rgb="FF1155CC"/>
        <rFont val="Arial"/>
        <family val="2"/>
      </rPr>
      <t>https://www.wikidata.org/wiki/Q11567121</t>
    </r>
  </si>
  <si>
    <t>Mean heart rate</t>
  </si>
  <si>
    <t>changed to person</t>
  </si>
  <si>
    <t>mean sea level pressure</t>
  </si>
  <si>
    <t xml:space="preserve">changed </t>
  </si>
  <si>
    <t>melting point of naphthalene under standard conditions</t>
  </si>
  <si>
    <t>Nervosity feelings I</t>
  </si>
  <si>
    <t>Nervousness is more complex then described, can be anxiety, can have physical manifestations, can be agitation, and lack of control. Also it can be caused both by external and internal causes. The description is a bit vague, and several disorders overlap here. The period of 30 days/usually when assesing lcinically 15 days are stndard, for example for DSMV</t>
  </si>
  <si>
    <t>Judith: feeling of nervosity versus nervousness --&gt; feeling of type nervous</t>
  </si>
  <si>
    <t>northward near-surface wind (v-component)</t>
  </si>
  <si>
    <t>Northward velocity of water current in the water body by high frequency radar</t>
  </si>
  <si>
    <t>Number of children under 10 years</t>
  </si>
  <si>
    <t>Number of elderly people living alone</t>
  </si>
  <si>
    <t>Number of persons receiving welfare</t>
  </si>
  <si>
    <t>observation of bloodtype in blood</t>
  </si>
  <si>
    <r>
      <t xml:space="preserve">the matrix is not nessicarily a patient (could be healthy), and may not even be human. I would use 'Donor' instead. (with a brief search the best match for this definition might be </t>
    </r>
    <r>
      <rPr>
        <u/>
        <sz val="10"/>
        <color rgb="FF1155CC"/>
        <rFont val="Arial"/>
        <family val="2"/>
      </rPr>
      <t>http://purl.obolibrary.org/obo/OBI_1110087</t>
    </r>
    <r>
      <rPr>
        <sz val="10"/>
        <color rgb="FF000000"/>
        <rFont val="Arial"/>
        <scheme val="minor"/>
      </rPr>
      <t xml:space="preserve">, though not perfect either. Subject is also possible, though more generic still - </t>
    </r>
    <r>
      <rPr>
        <u/>
        <sz val="10"/>
        <color rgb="FF1155CC"/>
        <rFont val="Arial"/>
        <family val="2"/>
      </rPr>
      <t>https://www.wikidata.org/wiki/Q830077)</t>
    </r>
  </si>
  <si>
    <t>I think I go for person
Dirk: agreed on person (though conceptually the variable could also exist for animals)
I must warn though that IMO this matrix-vs-denominator approach is not likely to be embraced by HBM experts or adopted in communication around lab analysis requests
To be verified with actual experts if you are interested, but AFAIK the matrix is typically understood to be the material that is in the test tube being sent out for analysis.The person would then rather be seen as a Contextual Entity (for the Matrix?).</t>
  </si>
  <si>
    <t>observation of rhesusform in blood</t>
  </si>
  <si>
    <t>The variable name and description are that of the above variable 117, I think this got mixed up. also see my comment above about patient.</t>
  </si>
  <si>
    <t>I think it is person
Dirk: agreed</t>
  </si>
  <si>
    <t>Overnight stays in hotel</t>
  </si>
  <si>
    <t>I do not know for sure if you have landed on using number or count (number is used here).</t>
  </si>
  <si>
    <t>Geology</t>
  </si>
  <si>
    <t>Seismology</t>
  </si>
  <si>
    <t>Peak ground acceleration</t>
  </si>
  <si>
    <t>finished</t>
  </si>
  <si>
    <t>percentage of bpfos_perc in blood</t>
  </si>
  <si>
    <t>would not use person but subject</t>
  </si>
  <si>
    <t>Dirk: I can't confirm or deny the percentage denominator to be blood, would have to check with the experts</t>
  </si>
  <si>
    <t>Percentage of number of children</t>
  </si>
  <si>
    <t>Same comment as for #90</t>
  </si>
  <si>
    <t>see answer above</t>
  </si>
  <si>
    <t>pH measurement of a sample of apple juice</t>
  </si>
  <si>
    <t>Pluvial flood</t>
  </si>
  <si>
    <t>The 100 years are not reflected?</t>
  </si>
  <si>
    <t>isn't that defined by the 36 mm/h (I would use 100 years event or the amount)</t>
  </si>
  <si>
    <t>Point sources of U-236 from Pacific Proving Grounds</t>
  </si>
  <si>
    <t>location: point source is not an observable property for me.  I would add condition:deposited on U-236 and as for the others, I would not use atmos per mass.</t>
  </si>
  <si>
    <t>point source is not a location constraint for me. point source describes how an emission is spatially represented (as a discreT decomposition.</t>
  </si>
  <si>
    <t>potential evaporation</t>
  </si>
  <si>
    <t xml:space="preserve">Not sure why the constraint "evaporated" is on soil. </t>
  </si>
  <si>
    <t>adjusted</t>
  </si>
  <si>
    <t>Probability of occurrence of habitat</t>
  </si>
  <si>
    <t>The atomisation is missing the time concept (the probability is calculated over 1 year) and the fact that the probability is calculate against the habitat present in contigous cells.</t>
  </si>
  <si>
    <t>the time and the grid are part of the description already</t>
  </si>
  <si>
    <t>Radial velocity of water current</t>
  </si>
  <si>
    <t>Radial velocity standard deviation over the coverage period</t>
  </si>
  <si>
    <t>Modify the variable name to "Radial velocity (away from) standard deviation over the coverage period of water current relative to instrument in the water body by high frequency radar". Modify the variable description to "Standard deviation of the component of water velocity in a water body along radial lines centered at the HFR antenna, evaluated over the coverage period".</t>
  </si>
  <si>
    <t>The variable name in the decomposition should be "Radial velocity (away from) standard deviation over the coverage period of water current relative to instrument in the water body by high frequency radar". The variable description in the decomposition is wrong. It should say "Standard deviation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</si>
  <si>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fix variable name: "Radial velocity (away from) standard deviation over the coverage period of water current relative to instrument in the water body by high frequency radar"
</t>
  </si>
  <si>
    <t>Radial velocity standard deviation over the scatter patch</t>
  </si>
  <si>
    <t xml:space="preserve">Judith:accepted
</t>
  </si>
  <si>
    <t>Radial velocity variance of water current</t>
  </si>
  <si>
    <t>Modify the variable description to "Variance of the component of water velocity in a water body along radial lines centered at the HFR antenna, evaluated over the coverage period".</t>
  </si>
  <si>
    <t>The variable description in the decomposition should be "Variance of the component of water velocity in a water body along radial lines centered at the HFR antenna, evaluated over the coverage period".</t>
  </si>
  <si>
    <t xml:space="preserve">judith: fix description: "Standard deviation of the component of water velocity in a water body along radial lines centered at the HFR antenna, evaluated over the coverage period"
</t>
  </si>
  <si>
    <t>Realistic releases of U236 from La Hague</t>
  </si>
  <si>
    <t>Same as for 130, I would change Property label from "atoms per mass" to "concentration" or "amount content" or abundance. I would remove condition:realistic since it is not a constrained on the observable but on the scenario. for the denominator, I would put seawather or sediment since La Hague releases primarily to marine environment.</t>
  </si>
  <si>
    <t>I feel condition:realistic is not useful. This describes a modelling/estimation scenario (realistic vs. conservative release estimates) rather than a characteristic of the observable property. Such methodological metadata should be captured elsewhere (e.g., provenance metadata, dataset documentation), not as a constraint on the Property.</t>
  </si>
  <si>
    <t>Sheet resistance of a layer of gold</t>
  </si>
  <si>
    <t>Hydrology</t>
  </si>
  <si>
    <t>soil moisture in upper soil</t>
  </si>
  <si>
    <t>solar energy poduction of building per month</t>
  </si>
  <si>
    <t>solubility of benzene in water</t>
  </si>
  <si>
    <t>I think for napthalene the same specificity can be followed. The benzene one is not generic, but is a good variable description. Comments regarding asymmetric system remains the same as for naphthalene.</t>
  </si>
  <si>
    <t>solubility of molecular oxygen from air in water</t>
  </si>
  <si>
    <t>O2 in air and O2 in water, it can't be two phase solid liquid system, it can be gas-liquid system :-) - same goes for constraint for matrix. Constraint for property: can be improved to normal / sea lvel atmospheric pressure and temperature perhaps? As more the partial pressure of O2, more the O2 solubility. Property can be the unit (mg/L)perhaps rather than word solubility?</t>
  </si>
  <si>
    <t>solubility of naphthalene in water</t>
  </si>
  <si>
    <t xml:space="preserve">I could be wrong, but I find redundance in terms - constraint : dissolved for naphthalene. The variable is solubility......"Solubility is the ability of a solid, liquid, or gaseous chemical substance (referred to as the solute) to dissolve in solvent (usually a liquid) and form a solution." Also, it was mentioned "does not include information about the HOW (protocol, instrument)", here we have a protocol, measurement at 279 nm wavelength, deionised water and room temperature. If I compare with the nanomaterial one, solubility of benzene is too specific, hence have said "partial" for genericity. Also,"local room temperature" can't be a constraint, as room temeperature in general is considered to 25 degree C. Room temperature locally in tropical countries can go upto 40-45 degree C.  Furthermore, two phase solid-liquid system has very specific meaning in case of chemistry - in this case I feel naphthalene and water will be visibly separate. It isn't a flux, flow or distance property in my mind to account for asymetric system, but I could be wrong. Also, has source and hastarget seems weird :-) </t>
  </si>
  <si>
    <t>Speed of gust</t>
  </si>
  <si>
    <t>Standard metabolic rate in mg O₂ per hour</t>
  </si>
  <si>
    <t>I think it is mostly correct, but I am a bit doubtful about the constraint 'due to: metabolism'. This seems to be covered by the other constraints already (there is no other way for an animal to consume oxygen).</t>
  </si>
  <si>
    <t>I would change it as Chalk suggests, used in the metabolic process</t>
  </si>
  <si>
    <t>State of pipe connection</t>
  </si>
  <si>
    <t>fix title: pipe</t>
  </si>
  <si>
    <t>Strike of bedding</t>
  </si>
  <si>
    <t>adjusted with agreement</t>
  </si>
  <si>
    <t>Sulfate Organic Nitrate in aerosol particles</t>
  </si>
  <si>
    <t xml:space="preserve">It would be better to say Mixture of Sulfate-Organic-Nitrate </t>
  </si>
  <si>
    <t xml:space="preserve">surface long-wave (thermal) radiation downwards </t>
  </si>
  <si>
    <t>Morgan + Dario</t>
  </si>
  <si>
    <t>since it is measured in 2D, we can say that the property is energy per area? I think we discussed over zoom that this may not be a flux.</t>
  </si>
  <si>
    <t>understandability: simply a more complex variable.</t>
  </si>
  <si>
    <t>considered it as 3D</t>
  </si>
  <si>
    <t>surface runoff</t>
  </si>
  <si>
    <t xml:space="preserve">Does it also include surface runoff from meltwater (snow/precipitation, glacier?); Also, the constraint "not soaking into the ground" on "surface" entity is confusing. </t>
  </si>
  <si>
    <t>Surface Snow Amount (snow water equivalent)</t>
  </si>
  <si>
    <t>I would use Matrix pattern instead of AsymmetricSystem</t>
  </si>
  <si>
    <t>SWE is water content in snow, not water / snow ratio e.g. The surface density (property) of water (ObjectOfInterest) within snow (Matrix), defined as if the snow melted (constraint).</t>
  </si>
  <si>
    <t>Total number of people living within a statistical unit</t>
  </si>
  <si>
    <t xml:space="preserve">The variable label says "people living" while the description constrains to "in the buildings". Unclear where this information comes from. </t>
  </si>
  <si>
    <t>you are right, the constraint is not necessary, I will remove it</t>
  </si>
  <si>
    <t>Uncertainty of Northward velocity of water current</t>
  </si>
  <si>
    <t>Add the typology of the contraints (location: at the surface and type: northward)</t>
  </si>
  <si>
    <t>The variable name in column B is wrong. It should say "Northward velocity uncertainty of water current". The typology of the two contraints has to be added (location: at the surface and type: northward)</t>
  </si>
  <si>
    <t>Judith: fix name: Northward velocity uncertainty of water current
fix constraints: location: at the surface and type: northward
fix property: certainty</t>
  </si>
  <si>
    <t>Upwelling actinic flux</t>
  </si>
  <si>
    <t>It would be better to have the object of interest be radiation in this case and the matrix atmosphere. Actinic flux is measuring the number of photons incident on a point. It is used in atmospheric chemistry to estimate photolysis rate coefficient which is a measure of the rate a specific trace gas molecule, e.g., O3, can be "broken down" by solar radiation.</t>
  </si>
  <si>
    <t>The property looks good. We would also add that the description would be more accurate to say 'spectral actinic flux' since it's wavelength specific.</t>
  </si>
  <si>
    <t>aligned with 109</t>
  </si>
  <si>
    <t>UVAD Eastward velocity average in the water by a moored acoustic doppler current profile (ADCP)</t>
  </si>
  <si>
    <t>VART_QC Variance quality flag</t>
  </si>
  <si>
    <t>water sampling depth</t>
  </si>
  <si>
    <t>In this case it is the distance from surface to the sampling point, not bottom.</t>
  </si>
  <si>
    <t>water turbidity of stagnant surface water</t>
  </si>
  <si>
    <t>weight in kg without clothes before pregnancy</t>
  </si>
  <si>
    <t>Weight-specific ingestion carbon rate at 15 °C</t>
  </si>
  <si>
    <t>harder to understand. The previous variable (22) does not have the constraint due to: ingestion; They should either both have it or neither should. I think it can be inferred (there is no situation in which this constraint does not apply), so it does not need to be there. On another point, the organism ingests the carbon, and then later its dry weight is measured. So during consumption it is not dry. I think instead the property should have a constraint 'condition: dry weight'. I would also argue that the ooi condition could be better placed in matrix; food -&gt; condition: "non-limiting amount".</t>
  </si>
  <si>
    <r>
      <rPr>
        <b/>
        <sz val="10"/>
        <color theme="1"/>
        <rFont val="Arial"/>
        <family val="2"/>
      </rPr>
      <t>Correctness</t>
    </r>
    <r>
      <rPr>
        <sz val="10"/>
        <color theme="1"/>
        <rFont val="Arial"/>
        <family val="2"/>
      </rPr>
      <t>: Is the representation capturing the variable correctly?</t>
    </r>
  </si>
  <si>
    <r>
      <rPr>
        <b/>
        <sz val="10"/>
        <color theme="1"/>
        <rFont val="Arial"/>
        <family val="2"/>
      </rPr>
      <t>Genericity</t>
    </r>
    <r>
      <rPr>
        <sz val="10"/>
        <color theme="1"/>
        <rFont val="Arial"/>
        <family val="2"/>
      </rPr>
      <t>: Are the entity labels for Object of Interest and Matrix generic enough to be reusable for other variable descriptions?</t>
    </r>
  </si>
  <si>
    <r>
      <rPr>
        <b/>
        <sz val="10"/>
        <color theme="1"/>
        <rFont val="Arial"/>
        <family val="2"/>
      </rPr>
      <t>Completeness</t>
    </r>
    <r>
      <rPr>
        <sz val="10"/>
        <color theme="1"/>
        <rFont val="Arial"/>
        <family val="2"/>
      </rPr>
      <t>: Is the representation explicit and comprehensive enough to cover the relevant parts of the variable description?</t>
    </r>
  </si>
  <si>
    <r>
      <rPr>
        <b/>
        <sz val="10"/>
        <color theme="1"/>
        <rFont val="Arial"/>
        <family val="2"/>
      </rPr>
      <t>Conciseness</t>
    </r>
    <r>
      <rPr>
        <sz val="10"/>
        <color theme="1"/>
        <rFont val="Arial"/>
        <family val="2"/>
      </rPr>
      <t>: Does the representation of the variable include only I-ADOPT-relevant descriptions without redundancies in terms of methods and units, etc?</t>
    </r>
  </si>
  <si>
    <r>
      <rPr>
        <b/>
        <sz val="10"/>
        <color theme="1"/>
        <rFont val="Arial"/>
        <family val="2"/>
      </rPr>
      <t>Understandability</t>
    </r>
    <r>
      <rPr>
        <sz val="10"/>
        <color theme="1"/>
        <rFont val="Arial"/>
        <family val="2"/>
      </rPr>
      <t>: Is the representation, including its decomposition into atomic elements, easy to understand?</t>
    </r>
  </si>
  <si>
    <t>variable</t>
  </si>
  <si>
    <t>model</t>
  </si>
  <si>
    <t>mode</t>
  </si>
  <si>
    <t>temperature</t>
  </si>
  <si>
    <t>prompt_version</t>
  </si>
  <si>
    <t>shot</t>
  </si>
  <si>
    <t>repetition</t>
  </si>
  <si>
    <t>example_labels</t>
  </si>
  <si>
    <t>example_paths</t>
  </si>
  <si>
    <t>ground_truth_json</t>
  </si>
  <si>
    <t>predicted_json</t>
  </si>
  <si>
    <t>Sheet resistance of layer of gold</t>
  </si>
  <si>
    <t>qwen/qwen3-32b</t>
  </si>
  <si>
    <t>fixed-examples-grid</t>
  </si>
  <si>
    <t>0,5</t>
  </si>
  <si>
    <t>strict_minimal</t>
  </si>
  <si>
    <t>["Daily Maximum Near-Surface Wind Speed of Gust", "Labile detrital nitrogen concentration in the seabed", "BPM Mean heart rate", "Moisture in upper soil portion", "Surface runoff"]</t>
  </si>
  <si>
    <t>["test_set/sfcWindmax.json", "test_set/DetritalNitrogenConc.json", "test_set/HeartRate.json", "test_set/SoilMoist.json", "test_set/SurfRunoff.json"]</t>
  </si>
  <si>
    <t>{
  "label": "Sheet resistance of layer of gold",
  "definition": "The sheet resistance of a 5-nanometer-thick layer of gold.",
  "comment": "gold; sheet resistance; size: 5nm thick layer",
  "hasProperty": "sheet resistance",
  "hasPropertyURI": "https://www.wikidata.org/wiki/Q354718",
  "hasObjectOfInterest": "gold",
  "hasObjectOfInterestURI": "https://www.wikidata.org/wiki/Q897",
  "hasConstraint": [
  {
  "label": "5 nm thick layer",
  "on": "gold"
  }
  ],
  "__path": "test_set/C26_GoldSheetResistance.json"
 }</t>
  </si>
  <si>
    <t>{
  "label": "Sheet resistance of a 5-nanometer-thick layer of gold",
  "definition": "The sheet resistance of a 5-nanometer-thick layer of gold.",
  "comment": "sheet resistance; 5-nm thick; gold layer",
  "hasProperty": "sheet resistance",
  "hasObjectOfInterest": "gold",
  "hasConstraint": [
  {
  "label": "5-nanometer-thick layer",
  "on": "gold"
  }
  ],
  "hasStatisticalModifier": "",
  "hasMatrix": "",
  "hasContextObject": ""
 }</t>
  </si>
  <si>
    <t>Percentage Branched Perfluorooctane sulfonic acid (BPFOS)</t>
  </si>
  <si>
    <t>{
  "label": "Percentage Branched Perfluorooctane sulfonic acid (BPFOS)",
  "definition": "Percentage Branched Perfluorooctane sulfonic acid in blood",
  "comment": "condition: branched isomers, blood, Perfluorooctane sulfonic acid, percentage, person",
  "hasProperty": "percentage",
  "hasPropertyURI": "https://www.wikidata.org/wiki/Q1907514",
  "hasMatrix": "person",
  "hasMatrixURI": "https://www.wikidata.org/wiki/Q5",
  "hasObjectOfInterest": {
  "AsymmetricSystem": "n4359191b631d45f08cbf2ecc79b77160b1",
  "hasSource": "Perfluorooctane sulfonic acid",
  "hasTarget": "blood"
  },
  "hasConstraint": [
  {
  "label": "branched isomers",
  "on": "Perfluorooctane sulfonic acid"
  }
  ],
  "__path": "test_set/BPFOS.json"
 }</t>
  </si>
  <si>
    <t>{
  "label": "Percentage Branched Perfluorooctane sulfonic acid in blood",
  "definition": "Percentage Branched Perfluorooctane sulfonic acid in blood",
  "comment": "Percentage of branched perfluorooctane sulfonic acid in blood",
  "hasProperty": "percentage",
  "hasObjectOfInterest": "branched perfluorooctane sulfonic acid",
  "hasMatrix": "blood",
  "hasStatisticalModifier": "",
  "hasContextObject": "",
  "hasConstraint": []
 }</t>
  </si>
  <si>
    <t>{
  "label": "Peak ground acceleration",
  "definition": "Peak acceleration measured on the earth surface when facing seismic events, like earthquakes.",
  "comment": "ground, maximum, acceleration, due to: seismic event, surface -&gt; location: surface",
  "hasProperty": "acceleration",
  "hasPropertyURI": "https://www.wikidata.org/wiki/Q11376",
  "hasStatisticalModifier": "maximum",
  "hasStatisticalModifierURI": "https://www.wikidata.org/wiki/Q10578722",
  "hasMatrix": "earth",
  "hasMatrixURI": "https://www.wikidata.org/wiki/Q2",
  "hasObjectOfInterest": "ground",
  "hasObjectOfInterestURI": "https://www.wikidata.org/wiki/Q36133",
  "hasConstraint": [
  {
  "label": "surface",
  "on": "ground"
  },
  {
  "label": "seismic event",
  "on": "acceleration"
  }
  ],
  "__path": "test_set/C10_PeakGroundAcceleration.json"
 }</t>
  </si>
  <si>
    <t>{
  "label": "Peak acceleration on earth surface during seismic events",
  "definition": "Peak acceleration measured on the earth surface when facing seismic events, like earthquakes.",
  "comment": "Peak acceleration on earth surface during seismic events like earthquakes.",
  "hasProperty": "acceleration",
  "hasObjectOfInterest": "earth surface",
  "hasMatrix": "",
  "hasConstraint": [
  {
  "label": "seismic events",
  "on": "earth surface"
  }
  ],
  "hasStatisticalModifier": "",
  "hasContextObject": ""
 }</t>
  </si>
  <si>
    <t>{
  "label": "Strike of bedding",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"line of intersection, sedimentary rock, azimuth, bedding plane, horizontal plane, ADD: interpretation: angle measured with the dip direction to the right",
  "hasProperty": "azimuth",
  "hasPropertyURI": "https://www.wikidata.org/wiki/Q124274",
  "hasMatrix": "sedimentary rock",
  "hasMatrixURI": "https://www.wikidata.org/wiki/Q82480",
  "hasObjectOfInterest": "bedding",
  "hasObjectOfInterestURI": "https://www.wikidata.org/wiki/Q2234184",
  "hasConstraint": [
  {
  "label": "angle measured with the dip direction to the right when facing in the azimuth direction",
  "on": "azimuth"
  },
  {
  "label": "strike of bedding",
  "on": "azimuth"
  }
  ],
  "__path": "test_set/C11_StrikeBedding.json"
 }</t>
  </si>
  <si>
    <t>{
  "label": "Geographic azimuth of sedimentary rock bedding surface",
  "definition": "Geographic azimuth (relative to true north) at a point observation location, of a horizontal line contained in a sedimentary rock bedding surface. The bedding surface must not be horizontal; the azimuth is reported such that the dip direction of the inclined bedding is to the right when facing in the azimuth direction.",
  "comment": "azimuth relative to true north of a horizontal line in an inclined sedimentary rock bedding surface",
  "hasProperty": "azimuth",
  "hasObjectOfInterest": "horizontal line",
  "hasMatrix": "sedimentary rock bedding surface",
  "hasConstraint": [
  {
  "label": "relative to true north",
  "on": "azimuth"
  },
  {
  "label": "bedding surface must not be horizontal",
  "on": "bedding surface"
  }
  ],
  "hasStatisticalModifier": "",
  "hasContextObject": ""
 }</t>
  </si>
  <si>
    <t>Concentration of Al cations in water</t>
  </si>
  <si>
    <t>{
  "label": "Concentration of Al cations in water",
  "definition": "Concentration of Al cations in water",
  "comment": "composition: aluminium, mass concentration, cation, water",
  "hasProperty": "mass concentration",
  "hasPropertyURI": "https://www.wikidata.org/wiki/Q589446",
  "hasObjectOfInterest": {
  "AsymmetricSystem": "n4a873c6abe4749c4b731c4e3088f91e1b1",
  "hasSource": "cation",
  "hasTarget": "water"
  },
  "hasConstraint": [
  {
  "label": "aluminium",
  "on": "cation"
  }
  ],
  "__path": "test_set/ALCat.json"
 }</t>
  </si>
  <si>
    <t>{
  "label": "Concentration of Al cations in water",
  "definition": "Concentration of Al cations in water",
  "comment": "Concentration of aluminum cations in water",
  "hasProperty": "concentration",
  "hasObjectOfInterest": "Al cations",
  "hasMatrix": "water",
  "hasStatisticalModifier": "",
  "hasContextObject": "",
  "hasConstraint": []
 }</t>
  </si>
  <si>
    <t>Air daily maximum temperature at 1.7m</t>
  </si>
  <si>
    <t>{
  "label": "Air daily maximum temperature at 1.7m",
  "definition": "Thermodynamic temperature of the air in a height of 1.7 meter, daily maximum",
  "comment": "Thermodynamic temperature; air; in a height of 1.7 meter; daily; maximum - ADD: atmosphere (to distinguish it from indoors); \nVDP10 for property; VDP40 for context object; VDP66 for constraint:datum; VDP67 for constraint:condition.",
  "hasProperty": "thermodynamic temperature",
  "hasPropertyURI": "https://www.wikidata.org/wiki/Q264647",
  "hasStatisticalModifier": "maximum",
  "hasStatisticalModifierURI": "https://www.wikidata.org/wiki/Q10578722",
  "hasMatrix": "atmosphere",
  "hasMatrixURI": "https://www.wikidata.org/wiki/Q8104",
  "hasObjectOfInterest": "air",
  "hasObjectOfInterestURI": "https://www.wikidata.org/wiki/Q7391292",
  "hasConstraint": [
  {
  "label": "daily",
  "on": "maximum"
  },
  {
  "label": "1,7 m above ground",
  "on": "air"
  }
  ],
  "__path": "test_set/C2_AirDailyMaximumTemperature.json"
 }</t>
  </si>
  <si>
    <t>{
  "label": "Thermodynamic temperature of the air in a height of 1.7 meter, daily maximum",
  "definition": "Thermodynamic temperature of the air in a height of 1.7 meter, daily maximum",
  "comment": "temperature; air; height: 1.7 meter; daily, maximum",
  "hasProperty": "temperature",
  "hasStatisticalModifier": "maximum",
  "hasObjectOfInterest": "air",
  "hasConstraint": [
  {
  "label": "height of 1.7 meter",
  "on": "air"
  },
  {
  "label": "daily",
  "on": "maximum"
  }
  ],
  "hasMatrix": "",
  "hasContextObject": ""
 }</t>
  </si>
  <si>
    <t>{
  "label": "Foraminifera, planktic, size",
  "definition": "Size of planktic foraminifers in surface sediments, see https://doi.pangaea.de/10.1594/PANGAEA.126730",
  "comment": "foraminifera, sediment, size, planctonic -&gt; type: planktonic, surface -&gt; location: surface",
  "hasProperty": "size",
  "hasPropertyURI": "https://www.wikidata.org/wiki/Q322481",
  "hasMatrix": "sediment",
  "hasMatrixURI": "https://www.wikidata.org/wiki/Q180184",
  "hasObjectOfInterest": "foraminifera",
  "hasObjectOfInterestURI": "https://www.wikidata.org/wiki/Q107027",
  "hasConstraint": [
  {
  "label": "planktonic",
  "on": "foraminifera"
  },
  {
  "label": "surface",
  "on": "sediment"
  }
  ],
  "__path": "test_set/C15_ForaminiferSize.json"
 }</t>
  </si>
  <si>
    <t>{
  "label": "Size of planktic foraminifers in surface sediments",
  "definition": "Size of planktic foraminifers in surface sediments, see https://doi.pangaea.de/10.1594/PANGAEA.126730",
  "comment": "size, planktic foraminifers, surface sediments",
  "hasProperty": "size",
  "hasObjectOfInterest": "planktic foraminifers",
  "hasMatrix": "sediments",
  "hasConstraint": [
  {
  "label": "surface",
  "on": "sediments"
  }
  ],
  "hasStatisticalModifier": "",
  "hasContextObject": ""
 }</t>
  </si>
  <si>
    <t>{
  "label": "Feral-free enclosure area",
  "definition": "The total area (in ha) of feral-free enclosures. See https://linked.data.gov.au/def/nrm/d936bfd5-d2f9-5107-bbf7-2bd18bbab42b",
  "comment": "enclosure, area, free of feral -&gt; condition: free of feral",
  "hasProperty": "area",
  "hasPropertyURI": "https://www.wikidata.org/wiki/Q11500",
  "hasObjectOfInterest": "enclosure",
  "hasObjectOfInterestURI": "https://www.wikidata.org/wiki/Q858177",
  "hasConstraint": [
  {
  "label": "free of feral",
  "on": "enclosure"
  }
  ],
  "__path": "test_set/C14_FeralfreeEnclosureArea.json"
 }</t>
  </si>
  <si>
    <t>{
  "label": "Total area of feral-free enclosures",
  "definition": "The total area (in ha) of feral-free enclosures. See https://linked.data.gov.au/def/nrm/d936bfd5-d2f9-5107-bbf7-2bd18bbab42b",
  "comment": "Total area of enclosures free from feral animals",
  "hasProperty": "area",
  "hasObjectOfInterest": "feral-free enclosures",
  "hasMatrix": "",
  "hasStatisticalModifier": "",
  "hasContextObject": "",
  "hasConstraint": []
 }</t>
  </si>
  <si>
    <t>Aircraft Angle of Attack.</t>
  </si>
  <si>
    <t>{
  "label": "Aircraft Angle of Attack.",
  "definition": "Aircraft Angle of Attack measured in degrees. The angle at which a straight line from the leading edge to the training edge of an aircraft’s wing meets the relative wind.",
  "comment": "\"aircraft; type: angle of attack; angle",
  "hasProperty": "angle",
  "hasPropertyURI": "https://www.wikidata.org/wiki/Q11352",
  "hasObjectOfInterest": "aircraft",
  "hasObjectOfInterestURI": "https://www.wikidata.org/wiki/Q11436",
  "hasConstraint": [
  {
  "label": "angle of attack",
  "on": "angle"
  }
  ],
  "__path": "test_set/AOA.json"
 }</t>
  </si>
  <si>
    <t>{
  "label": "Aircraft Angle of Attack",
  "definition": "Aircraft Angle of Attack measured in degrees. The angle at which a straight line from the leading edge to the training edge of an aircraft’s wing meets the relative wind.",
  "comment": "Angle between wing's leading/trailing edge line and relative wind.",
  "hasProperty": "angle",
  "hasObjectOfInterest": "wing",
  "hasMatrix": "air",
  "hasStatisticalModifier": "",
  "hasContextObject": "",
  "hasConstraint": []
 }</t>
  </si>
  <si>
    <t>Mass concentration of isobutylene in chloroform</t>
  </si>
  <si>
    <t>{
  "label": "Mass concentration of isobutylene in chloroform",
  "definition": "Mass concentration of isobutylene in chloroform, measured in g/l.",
  "comment": "Mass concentration; isobutylene; chloroform; ADD: per unit mass",
  "hasProperty": "mass concentration",
  "hasPropertyURI": "https://www.wikidata.org/wiki/Q589446",
  "hasObjectOfInterest": {
  "AsymmetricSystem": "ratio",
  "hasSource": "isobutylene",
  "hasTarget": "chloroform"
  },
  "__path": "test_set/C27_IsobutyleneConcentration.json"
 }</t>
  </si>
  <si>
    <t>{
  "label": "Mass concentration of isobutylene in chloroform",
  "definition": "Mass concentration of isobutylene in chloroform, measured in g/l.",
  "comment": "Mass concentration of isobutylene in chloroform.",
  "hasProperty": "mass concentration",
  "hasObjectOfInterest": "isobutylene",
  "hasMatrix": "chloroform",
  "hasStatisticalModifier": "",
  "hasContextObject": "",
  "hasConstraint": []
 }</t>
  </si>
  <si>
    <t>Nervosity feelings</t>
  </si>
  <si>
    <t>{
  "label": "Nervosity feelings",
  "definition": "In the past 30 days, how often did you feel nervous?",
  "comment": "feel -&gt; feeling; nervous -&gt; type:nervous; during last 30 days; ADD: person; frequency",
  "hasProperty": "frequency",
  "hasPropertyURI": "https://www.wikidata.org/wiki/Q11652",
  "hasMatrix": "person",
  "hasMatrixURI": "https://www.wikidata.org/wiki/Q5",
  "hasObjectOfInterest": "feeling",
  "hasObjectOfInterestURI": "https://www.wikidata.org/wiki/Q205555",
  "hasConstraint": [
  {
  "label": "during last 30 days",
  "on": "frequency"
  },
  {
  "label": "nervous",
  "on": "feeling"
  }
  ],
  "__path": "test_set/C29_NervosityFrequency.json"
 }</t>
  </si>
  <si>
    <t>{
  "label": "Frequency of Feeling Nervous in the Past 30 Days",
  "definition": "In the past 30 days, how often did you feel nervous?",
  "comment": "time period: past 30 days, frequency of nervousness",
  "hasProperty": "frequency",
  "hasObjectOfInterest": "nervousness",
  "hasConstraint": [
  {
  "label": "past 30 days",
  "on": "frequency"
  }
  ],
  "hasStatisticalModifier": "",
  "hasMatrix": "",
  "hasContextObject": ""
 }</t>
  </si>
  <si>
    <t>{
  "label": "Dynamic shear viscosity of polystyrene PS042",
  "definition": "Dynamic shear viscosity of polystyrene PS042 under the testing conditions of DIN 51810-1.",
  "comment": "polystyrene PS042; dynamic shear viscosity; type: condition: under testing conditions of DIN 51810-1",
  "hasProperty": "dynamic shear viscosity",
  "hasObjectOfInterest": "polystyrene PS042",
  "hasConstraint": [
  {
  "label": "under testing conditions of DIN 5810-1",
  "on": "dynamic shear viscosity"
  }
  ],
  "__path": "test_set/C25_PolystyreneViscosity.json"
 }</t>
  </si>
  <si>
    <t>{
  "label": "Dynamic shear viscosity of polystyrene PS042",
  "definition": "Dynamic shear viscosity of polystyrene PS042 under the testing conditions of DIN 51810-1.",
  "comment": "dynamic shear viscosity; polystyrene PS042; testing conditions: DIN 51810-1",
  "hasProperty": "dynamic shear viscosity",
  "hasObjectOfInterest": "polystyrene PS042",
  "hasMatrix": "",
  "hasConstraint": [
  {
  "label": "testing conditions of DIN 51810-1",
  "on": "dynamic shear viscosity"
  }
  ],
  "hasStatisticalModifier": "",
  "hasContextObject": ""
 }</t>
  </si>
  <si>
    <t>{
  "label": "Cloud cover",
  "definition": "The amount of sky estimated to be covered by all cloud types.",
  "comment": "sky; cloud; amount covered -&gt; area fraction; ADD: area per area",
  "hasProperty": "area fraction",
  "hasObjectOfInterest": {
  "AsymmetricSystem": "n3155b06e8ef747f69271b1de42d1f2eeb1",
  "hasSource": "cloud",
  "hasTarget": "sky"
  },
  "__path": "test_set/C3_CloudCover.json"
 }</t>
  </si>
  <si>
    <t>{
  "label": "Cloud Cover",
  "definition": "The amount of sky estimated to be covered by all cloud types.",
  "comment": "Coverage of sky by all cloud types.",
  "hasProperty": "coverage",
  "hasObjectOfInterest": "sky",
  "hasConstraint": [
  {
  "label": "all cloud types",
  "on": "coverage"
  }
  ],
  "hasStatisticalModifier": "",
  "hasMatrix": "",
  "hasContextObject": ""
 }</t>
  </si>
  <si>
    <t>Atmospheric boundary layer height defined by temperature inversion</t>
  </si>
  <si>
    <t>{
  "label": "Atmospheric boundary layer height defined by temperature inversion",
  "definition": "Atmospheric boundary layer height defined by temperature inversion.",
  "comment": "Atmospheric boundary layer, height, temperature inversion (ADD atmosphere, above ground surface, defined by: temperature inversion).",
  "hasProperty": "height",
  "hasPropertyURI": "https://www.wikidata.org/wiki/Q208826",
  "hasMatrix": "atmosphere",
  "hasMatrixURI": "https://www.wikidata.org/wiki/Q8104",
  "hasObjectOfInterest": "atmospheric boundary layer",
  "hasConstraint": [
  {
  "label": "temperature inversion",
  "on": "atmospheric boundary layer"
  },
  {
  "label": "above ground",
  "on": "height"
  }
  ],
  "__path": "test_set/C4_ABLHeight.json"
 }</t>
  </si>
  <si>
    <t>{
  "label": "Atmospheric boundary layer height defined by temperature inversion",
  "definition": "Atmospheric boundary layer height defined by temperature inversion.",
  "comment": "Atmospheric boundary layer height determined by temperature inversion.",
  "hasProperty": "height",
  "hasObjectOfInterest": "atmospheric boundary layer",
  "hasMatrix": "",
  "hasConstraint": [
  {
  "label": "temperature inversion",
  "on": "height"
  }
  ],
  "hasStatisticalModifier": "",
  "hasContextObject": ""
 }</t>
  </si>
  <si>
    <t>Probablity of occurence of habitat</t>
  </si>
  <si>
    <t>{
  "label": "Probablity of occurence of habitat",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"habitat, probability -&gt; propability of occurrence, ADD: Europe, type: EUNIS habitat type, temporal extend: over 1 year, spatial extend: grid cell of 100x100 m",
  "hasProperty": "probability of occurrence",
  "hasMatrix": "European Union",
  "hasMatrixURI": "https://www.wikidata.org/wiki/Q941769",
  "hasObjectOfInterest": "habitat",
  "hasObjectOfInterestURI": "https://www.wikidata.org/wiki/Q52105",
  "hasConstraint": [
  {
  "label": "over 1 year",
  "on": "probability of occurrence"
  },
  {
  "label": "grid cell of 100x100 m",
  "on": "probability of occurrence"
  },
  {
  "label": "EUNIS habitat type",
  "on": "habitat"
  }
  ],
  "__path": "test_set/C12_HabitatProbability.json"
 }</t>
  </si>
  <si>
    <t>{
  "label": "Surface runoff",
  "definition": "Part of terrestrial Ecosystem distribution of terrestrial EUNIS Habitats EBV, probability of occurrence of EUNIS habitats within contiguous spatial units (grid cells of 100x100 m) across the EU over 1 year time. https://github.com/EuropaBON/EBV-Descriptions/entity/Terrestrial-Ecosystem-distribution-of-terrestrial-EUNIS-Habitats",
  "comment": "Surface water flow not soaking into the ground, measured as mass flow rate.",
  "hasProperty": "mass flow",
  "hasObjectOfInterest": "water",
  "hasMatrix": "",
  "hasConstraint": [
  {
  "label": "not soaking into the ground",
  "on": "surface"
  }
  ],
  "hasStatisticalModifier": "",
  "hasContextObject": ""
 }</t>
  </si>
  <si>
    <t>Date of last PCR-test</t>
  </si>
  <si>
    <t>{
  "label": "Date of last PCR-test",
  "definition": "date of last COVID-19 PCR test performed by a certified laboratory",
  "comment": "date; latest; person, COVID-19; PCR test; performed by a certified laboratory",
  "hasProperty": "date",
  "hasPropertyURI": "https://www.wikidata.org/wiki/Q205892",
  "hasMatrix": "person",
  "hasMatrixURI": "https://www.wikidata.org/wiki/Q5",
  "hasObjectOfInterest": "PCR-test",
  "hasObjectOfInterestURI": "https://www.wikidata.org/wiki/Q104462307",
  "hasConstraint": [
  {
  "label": "SARS-CoV2",
  "on": "PCR-test"
  },
  {
  "label": "latest",
  "on": "date"
  }
  ],
  "__path": "test_set/C30_LastCovidTest.json"
 }</t>
  </si>
  <si>
    <t>{
  "label": "Date of Last COVID-19 PCR Test Performed by Certified Laboratory",
  "definition": "date of last COVID-19 PCR test performed by a certified laboratory",
  "comment": "date of last PCR test for COVID-19 conducted in certified lab",
  "hasProperty": "date",
  "hasStatisticalModifier": "last",
  "hasObjectOfInterest": "COVID-19 PCR test",
  "hasConstraint": [
  {
  "label": "certified laboratory",
  "on": "test"
  }
  ],
  "hasMatrix": "",
  "hasContextObject": ""
 }</t>
  </si>
  <si>
    <t>Atmosphere optical thickness of particulate organic matter ambient aerosol</t>
  </si>
  <si>
    <t>{
  "label": "Atmosphere optical thickness of particulate organic matter ambient aerosol",
  "definition": "Atmospheric optical thickness of particulate organic matter at 550nm.",
  "comment": "Atmospheric, optical thickness, particles, organic, 550nm.",
  "hasProperty": "optical thickness",
  "hasPropertyURI": "https://www.wikidata.org/wiki/Q890809",
  "hasMatrix": "aerosol",
  "hasMatrixURI": "https://www.wikidata.org/wiki/Q104541",
  "hasObjectOfInterest": "particle",
  "hasObjectOfInterestURI": "https://www.wikidata.org/wiki/Q1621273",
  "hasContextObject": "atmosphere",
  "hasContextObjectURI": "https://www.wikidata.org/wiki/Q8104",
  "hasConstraint": [
  {
  "label": "at 550nm wavelength",
  "on": "optical thickness"
  },
  {
  "label": "organic",
  "on": "particle"
  }
  ],
  "__path": "test_set/C5_OpticalThickness.json"
 }</t>
  </si>
  <si>
    <t>{
  "label": "Atmospheric optical thickness of particulate Organic matter at 550nm",
  "definition": "Atmospheric optical thickness of particulate organic matter at 550nm.",
  "comment": "optical thickness; particulate organic matter; atmosphere; 550nm",
  "hasProperty": "optical thickness",
  "hasObjectOfInterest": "particulate Organic matter",
  "hasMatrix": "atmosphere",
  "hasConstraint": [
  {
  "label": "550nm",
  "on": "optical thickness"
  }
  ],
  "hasStatisticalModifier": "",
  "hasContextObject": ""
 }</t>
  </si>
  <si>
    <t>Coarse woody debris abundance</t>
  </si>
  <si>
    <t>{
  "label": "Coarse woody debris abundance",
  "definition": "Coarse woody debris abundance (m2/hectare)",
  "comment": "coarse woody debris, abundance -&gt; area fraction, ADD: ground",
  "hasProperty": "area fraction",
  "hasMatrix": "ground",
  "hasMatrixURI": "https://www.wikidata.org/wiki/Q36133",
  "hasObjectOfInterest": "coarse woody debris",
  "hasObjectOfInterestURI": "https://www.wikidata.org/wiki/Q2069734",
  "__path": "test_set/C8_CWDFraction.json"
 }</t>
  </si>
  <si>
    <t>{
  "label": "Coarse woody debris abundance",
  "definition": "Coarse woody debris abundance (m2/hectare)",
  "comment": "abundance of coarse woody debris in square meters per hectare",
  "hasProperty": "abundance",
  "hasObjectOfInterest": "coarse woody debris",
  "hasStatisticalModifier": "",
  "hasMatrix": "",
  "hasContextObject": "",
  "hasConstraint": []
 }</t>
  </si>
  <si>
    <t>{
  "label": "Biological sex",
  "definition": "Biological sex [female | male | intersex | unknown]",
  "comment": "organism, sex",
  "hasProperty": "sex",
  "hasPropertyURI": "https://www.wikidata.org/wiki/Q290",
  "hasObjectOfInterest": "organism",
  "hasObjectOfInterestURI": "https://www.wikidata.org/wiki/Q7239",
  "__path": "test_set/C18_BiologicalSex.json"
 }</t>
  </si>
  <si>
    <t>{
  "label": "Biological sex [female | male | intersex | unknown]",
  "definition": "Biological sex [female | male | intersex | unknown]",
  "comment": "Categories: female, male, intersex, unknown",
  "hasProperty": "category",
  "hasObjectOfInterest": "biological sex",
  "hasConstraint": [
  {
  "label": "female",
  "on": "category"
  },
  {
  "label": "male",
  "on": "category"
  },
  {
  "label": "intersex",
  "on": "category"
  },
  {
  "label": "unknown",
  "on": "category"
  }
  ],
  "hasStatisticalModifier": "",
  "hasMatrix": "",
  "hasContextObject": ""
 }</t>
  </si>
  <si>
    <t>Body Mass Index</t>
  </si>
  <si>
    <t>{
  "label": "Body Mass Index",
  "definition": "Body mass index calculated by dividing body mass by height squared",
  "comment": "Body mass; index; defined by: body mass divided by height squared; ADD: person",
  "hasProperty": "index",
  "hasPropertyURI": "https://www.wikidata.org/wiki/Q25472932",
  "hasMatrix": "person",
  "hasMatrixURI": "https://www.wikidata.org/wiki/Q5",
  "hasObjectOfInterest": "body mass",
  "hasObjectOfInterestURI": "https://www.wikidata.org/wiki/Q620876",
  "hasConstraint": [
  {
  "label": "body mass divided by height squared",
  "on": "index"
  }
  ],
  "__path": "test_set/BMI.json"
 }</t>
  </si>
  <si>
    <t>{
  "label": "Body mass index",
  "definition": "Body mass index calculated by dividing body mass by height squared",
  "comment": "Body mass index calculated by dividing body mass by height squared",
  "hasProperty": "surface density",
  "hasObjectOfInterest": "body mass",
  "hasStatisticalModifier": "",
  "hasMatrix": "",
  "hasContextObject": "",
  "hasConstraint": []
 }</t>
  </si>
  <si>
    <t>dose of applied nanomaterial internalised by a specific cell (number per cell)</t>
  </si>
  <si>
    <t>{
  "label": "dose of applied nanomaterial internalised by a specific cell (number per cell)",
  "definition": "Number of particles internalised into the cell over the duration of the experiment",
  "comment": "nanomaterial; cell; number per cell; location: intracellular, duration of the experiment; ADD: group of cells",
  "hasProperty": "number per entity",
  "hasMatrix": "group of cells",
  "hasMatrixURI": "https://www.wikidata.org/wiki/Q20088819",
  "hasObjectOfInterest": {
  "AsymmetricSystem": "n53e8e2afd1d347e9a2297d65c5670f78b1",
  "hasSource": "nanomaterial",
  "hasTarget": "cell"
  },
  "hasConstraint": [
  {
  "label": "intracellular",
  "on": "n53e8e2afd1d347e9a2297d65c5670f78b1"
  },
  {
  "label": "time extent. duration of the experiment",
  "on": "number per entity"
  }
  ],
  "__path": "test_set/C24_NanoparticleCount.json"
 }</t>
  </si>
  <si>
    <t>{
  "label": "Number of particles internalised into the cell over the duration of the experiment",
  "definition": "Number of particles internalised into the cell over the duration of the experiment",
  "comment": "count of particles internalised into the cell during the experiment",
  "hasProperty": "count",
  "hasObjectOfInterest": "particles internalised into the cell",
  "hasStatisticalModifier": "",
  "hasMatrix": "",
  "hasContextObject": "",
  "hasConstraint": []
 }</t>
  </si>
  <si>
    <t>Spectral upwelling actinic flux</t>
  </si>
  <si>
    <t>{
  "label": "Spectral upwelling actinic flux",
  "definition": "Upwelling component of actinic flux in wavelength range of 297-640 nm measured in photons/s/cm2/nm",
  "comment": "Upwelling; actinic -&gt; point; flux -&gt; energy flux; wavelength range of 297-640 -&gt; type: shortwave; ADD: atmosphere",
  "hasProperty": "energy flux",
  "hasPropertyURI": "https://www.wikidata.org/wiki/Q5377054",
  "hasMatrix": {
  "AsymmetricSystem": "n32ea7509ab96440f867c8f6164f98156b1",
  "hasSource": "atmosphere",
  "hasTarget": "point"
  },
  "hasObjectOfInterest": "radiation",
  "hasObjectOfInterestURI": "https://www.wikidata.org/wiki/Q18335",
  "hasConstraint": [
  {
  "label": "upwelling",
  "on": "radiation"
  },
  {
  "label": "shortwave (297-640 at nm wavelength)",
  "on": "radiation"
  }
  ],
  "__path": "test_set/ActinitcFlux.json"
 }</t>
  </si>
  <si>
    <t>{
  "label": "Upwelling Actinic Flux in 297-640 nm Wavelength Range",
  "definition": "Upwelling component of actinic flux in wavelength range of 297-640 nm measured in photons/s/cm2/nm",
  "comment": "upwelling actinic flux in 297-640 nm wavelength range",
  "hasProperty": "actinic flux",
  "hasObjectOfInterest": "actinic flux",
  "hasConstraint": [
  {
  "label": "upwelling",
  "on": "actinic flux"
  },
  {
  "label": "297-640 nm",
  "on": "actinic flux"
  }
  ],
  "hasStatisticalModifier": "",
  "hasMatrix": "",
  "hasContextObject": ""
 }</t>
  </si>
  <si>
    <t>DRVA Direction of radial velocity of water current relative to instrument and to True North by high frequency radar</t>
  </si>
  <si>
    <t>{
  "label": "DRVA Direction of radial velocity of water current relative to instrument and to True North by high frequency radar",
  "definition": "The compass direction in degrees positive clockwise from TrueNorth of the component of water velocity in a water body along radial lines centered at the HFR antenna.",
  "comment": "Radial velocity (away from) of water current related to instrument; direction -&gt; plane angle, relative to True North -&gt; relative to True North",
  "hasProperty": "plane angle",
  "hasPropertyURI": "https://www.wikidata.org/wiki/Q2849635",
  "hasObjectOfInterest": "RDVA radial velocity (away from) of water current related to instrument",
  "hasConstraint": [
  {
  "label": "relative to True North",
  "on": "plane angle"
  },
  {
  "label": "positive degrees clockwise",
  "on": "plane angle"
  }
  ],
  "__path": "test_set/DRVA.json"
 }</t>
  </si>
  <si>
    <t>{
  "label": "Surface runoff",
  "definition": "The compass direction in degrees positive clockwise from TrueNorth of the component of water velocity in a water body along radial lines centered at the HFR antenna.",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</si>
  <si>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Docosahexaenoic acid content per dry weight (DHA content/ C22:6 n-3 content)</t>
  </si>
  <si>
    <t>{
  "label": "Docosahexaenoic acid content per dry weight (DHA content/ C22:6 n-3 content)",
  "definition": "The amount of docosahexaenoic acid relative to dry weight in an organism.",
  "comment": "docosahexaenoic acid, organism, mass fraction, dry -&gt; state: dry",
  "hasProperty": "mass fraction",
  "hasPropertyURI": "https://www.wikidata.org/wiki/Q66055",
  "hasObjectOfInterest": {
  "AsymmetricSystem": "ned31f5c42ec94548bacabf8fcaa363ddb1",
  "hasSource": "docosahexaenoic acid",
  "hasTarget": "organism"
  },
  "hasConstraint": [
  {
  "label": "dry",
  "on": "organism"
  }
  ],
  "__path": "test_set/C17_DHAMassFraction.json"
 }</t>
  </si>
  <si>
    <t>{
  "label": "",
  "definition": "The amount of docosahexaenoic acid relative to dry weight in an organism.",
  "comment": "docosahexaenoic acid amount relative to dry weight in organism.",
  "hasProperty": "amount",
  "hasObjectOfInterest": "docosahexaenoic acid",
  "hasMatrix": "organism",
  "hasConstraint": [
  {
  "label": "dry weight",
  "on": "organism"
  }
  ],
  "hasStatisticalModifier": "",
  "hasContextObject": ""
 }</t>
  </si>
  <si>
    <t>Concentration of DDT impacted by industry</t>
  </si>
  <si>
    <t>{
  "label": "Concentration of DDT impacted by industry",
  "definition": "Concentration of DDT in a given year at a site impacted by industry.",
  "comment": "DDT; due to: industry; soil; mass fraction; temporal extent: 1 year",
  "hasProperty": "mass fraction",
  "hasPropertyURI": "https://www.wikidata.org/wiki/Q899138",
  "hasStatisticalModifier": "arithmetric mean",
  "hasStatisticalModifierURI": "https://www.wikidata.org/wiki/Q19033",
  "hasMatrix": "research site",
  "hasMatrixURI": "https://www.wikidata.org/wiki/Q57951700",
  "hasObjectOfInterest": {
  "AsymmetricSystem": "ndb8c9cdf951f45ccaccbe8908594747db1",
  "hasSource": "DDT",
  "hasTarget": "soil"
  },
  "hasConstraint": [
  {
  "label": "industry",
  "on": "DDT"
  },
  {
  "label": "1 year",
  "on": "arithmetric mean"
  }
  ],
  "__path": "test_set/C20_DDTConcentration.json"
 }</t>
  </si>
  <si>
    <t>{
  "label": "Concentration of DDT in Industry-Impacted Site per Year",
  "definition": "Concentration of DDT in a given year at a site impacted by industry.",
  "comment": "concentration, DDT, time: given year, location: site impacted by industry",
  "hasProperty": "concentration",
  "hasObjectOfInterest": "DDT",
  "hasConstraint": [
  {
  "label": "given year",
  "on": "concentration"
  }
  ],
  "hasStatisticalModifier": "",
  "hasMatrix": "",
  "hasContextObject": ""
 }</t>
  </si>
  <si>
    <t>estimation of the energy of reaction upon combustion of hexanol</t>
  </si>
  <si>
    <t>{
  "label": "estimation of the energy of reaction upon combustion of hexanol",
  "definition": "energy released upon combustion of 99.98(w/w) pure hexanol in air at atmospheric pressure and atmospheric oxygen level.",
  "comment": "energy; combustion-&gt; combustion reaction; 99.98(w/w) pure; hexanol; air",
  "hasProperty": "energy",
  "hasPropertyURI": "https://www.wikidata.org/wiki/Q11379",
  "hasMatrix": "combustion reaction",
  "hasMatrixURI": "https://www.wikidata.org/wiki/Q133235",
  "hasObjectOfInterest": "hexanol (C6H14O)",
  "hasObjectOfInterestURI": "https://www.wikidata.org/wiki/Q76933",
  "hasContextObject": "air",
  "hasContextObjectURI": "https://www.wikidata.org/wiki/Q7391292",
  "hasConstraint": [
  {
  "label": "purity 99.98(w/w)",
  "on": "hexanol (C6H14O)"
  },
  {
  "label": "at atmospheric pressure",
  "on": "combustion reaction"
  },
  {
  "label": "at atmospheric oxygen level",
  "on": "combustion reaction"
  },
  {
  "label": "chemical reaction",
  "on": "energy"
  }
  ],
  "__path": "test_set/COMVAR.json"
 }</t>
  </si>
  <si>
    <t>{
  "label": "energy released upon combustion of 99.98(w/w) pure hexanol in air at atmospheric pressure and atmospheric oxygen level",
  "definition": "energy released upon combustion of 99.98(w/w) pure hexanol in air at atmospheric pressure and atmospheric oxygen level.",
  "comment": "energy from combustion; hexanol; purity 99.98(w/w); air; atmospheric pressure; atmospheric oxygen",
  "hasProperty": "energy",
  "hasObjectOfInterest": "hexanol",
  "hasMatrix": "air",
  "hasConstraint": [
  {
  "label": "99.98(w/w) pure",
  "on": "hexanol"
  }
  ],
  "hasStatisticalModifier": "",
  "hasContextObject": ""
 }</t>
  </si>
  <si>
    <t>{
  "label": "Maximum trunk char height",
  "definition": "Maximum trunk char height due to fire, measured above ground.",
  "comment": "trunk -&gt; tree trunk, char; height, maximum, due to fire; above ground.",
  "hasProperty": "height",
  "hasPropertyURI": "https://www.wikidata.org/wiki/Q208826",
  "hasStatisticalModifier": "maximum",
  "hasStatisticalModifierURI": "https://www.wikidata.org/wiki/Q10578722",
  "hasMatrix": "tree trunk",
  "hasMatrixURI": "https://www.wikidata.org/wiki/Q193472",
  "hasObjectOfInterest": "char",
  "hasObjectOfInterestURI": "https://www.wikidata.org/wiki/Q11567121",
  "hasConstraint": [
  {
  "label": "above ground",
  "on": "height"
  },
  {
  "label": "fire",
  "on": "char"
  }
  ],
  "__path": "test_set/C7_TrunkCharHeight.json"
 }</t>
  </si>
  <si>
    <t>{
  "label": "Maximum trunk char height due to fire, measured above ground",
  "definition": "Maximum trunk char height due to fire, measured above ground.",
  "comment": "maximum; trunk char; height; due to fire; above ground",
  "hasProperty": "height",
  "hasStatisticalModifier": "maximum",
  "hasObjectOfInterest": "trunk char",
  "hasConstraint": [
  {
  "label": "fire",
  "on": "trunk char"
  },
  {
  "label": "above ground",
  "on": "height"
  }
  ],
  "hasMatrix": "",
  "hasContextObject": ""
 }</t>
  </si>
  <si>
    <t>Circulation-Method-in-Pipe</t>
  </si>
  <si>
    <t>{
  "label": "Circulation-Method-in-Pipe",
  "definition": "Circulation mode (gravity, forced, ...) of water in canalisation pipe",
  "comment": "circulation mode, water, pipe, canalisation",
  "hasProperty": "Circulation Mode",
  "hasMatrix": "Pipe",
  "hasMatrixURI": "https://www.wikidata.org/wiki/Q41551",
  "hasObjectOfInterest": "Water",
  "hasObjectOfInterestURI": "https://www.wikidata.org/wiki/Q283",
  "hasConstraint": [
  {
  "label": "canalisation",
  "on": "Pipe"
  }
  ],
  "__path": "test_set/CirculationMode-Water.json"
 }</t>
  </si>
  <si>
    <t>{
  "label": "Surface runoff",
  "definition": "Circulation mode (gravity, forced, ...) of water in canalisation pipe",
  "comment": "condition: not soaking into the ground, surface, water body, mass flow, water",
  "hasProperty": "mass flow",
  "hasMatrix": {
  "AsymmetricSystem": "ne39c414e1c004d678a5bf53a7ac23cc7b1",
  "hasSource": "surface",
  "hasTarget": "water body"
  },
  "hasObjectOfInterest": "water",
  "hasConstraint": [
  {
  "label": "not soaking into the ground",
  "on": "surface"
  }
  ],
  "hasStatisticalModifier": "",
  "hasContextObject": ""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</si>
  <si>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"habitat patch system, distance, habitat patch, habitat patch, nearest neighbour -&gt; location: nearest neighbour, ADD: type: specfic EUNIS habitat, landscape region, minimum",
  "hasProperty": "distance",
  "hasPropertyURI": "https://www.wikidata.org/wiki/Q126017",
  "hasStatisticalModifier": "minimum",
  "hasStatisticalModifierURI": "https://www.wikidata.org/wiki/Q10585806",
  "hasMatrix": "landscape region",
  "hasMatrixURI": "https://www.wikidata.org/wiki/Q25496956",
  "hasObjectOfInterest": {
  "AsymmetricSystem": "habitat patch system",
  "hasSource": "habitat patch",
  "hasTarget": "habitat patch"
  },
  "hasConstraint": [
  {
  "label": "nearest neighbour",
  "on": "habitat patch"
  },
  {
  "label": "specific EUNIS habitat",
  "on": "habitat patch system"
  }
  ],
  "__path": "test_set/C13_DistanceHabitatPatch.json"
 }</t>
  </si>
  <si>
    <t>{
  "label": "Distance to Nearest Neighbour Habitat Patch",
  "definition": "Distance to nearest neighbour habitat patch to measure the degree of connection of EUNIS habitats within a landscape. https://github.com/EuropaBON/EBV-Descriptions/entity/Terrestrial-Connectivity-of-terrestrial-ecosystem-habitat-types",
  "comment": "measuring the degree of connection of EUNIS habitats within a landscape, distance, habitat patch",
  "hasProperty": "distance",
  "hasObjectOfInterest": "habitat patch",
  "hasMatrix": "landscape",
  "hasConstraint": [
  {
  "label": "nearest neighbour",
  "on": "habitat patch"
  },
  {
  "label": "EUNIS",
  "on": "habitat patch"
  }
  ],
  "hasStatisticalModifier": "",
  "hasContextObject": ""
 }</t>
  </si>
  <si>
    <t>{
  "label": "Current smoking status",
  "definition": "Smoking status current of a patient",
  "comment": "patient; smoking status; time: current",
  "hasProperty": "smoking status",
  "hasObjectOfInterest": "person",
  "hasObjectOfInterestURI": "https://www.wikidata.org/wiki/Q5",
  "hasConstraint": [
  {
  "label": "current",
  "on": "smoking status"
  },
  {
  "label": "patient",
  "on": "person"
  }
  ],
  "__path": "test_set/C22_SmokingStatus.json"
 }</t>
  </si>
  <si>
    <t>{
  "label": "Smoking status current of a patient",
  "definition": "Smoking status current of a patient",
  "comment": "current smoking status of a patient",
  "hasProperty": "status",
  "hasObjectOfInterest": "smoking",
  "hasMatrix": "patient",
  "hasConstraint": [
  {
  "label": "current",
  "on": "status"
  }
  ],
  "hasStatisticalModifier": "",
  "hasContextObject": ""
 }</t>
  </si>
  <si>
    <t>Resting systolic blood pressure</t>
  </si>
  <si>
    <t>{
  "label": "Resting systolic blood pressure",
  "definition": "Resting systolic blood pressure in millimeters of mercury (mmHg)",
  "comment": "blood; human; condition: resting; pressure; state: systolic",
  "hasProperty": "pressure",
  "hasPropertyURI": "https://www.wikidata.org/wiki/Q39552",
  "hasMatrix": "human",
  "hasMatrixURI": "https://www.wikidata.org/wiki/Q5",
  "hasObjectOfInterest": "blood",
  "hasObjectOfInterestURI": "https://www.wikidata.org/wiki/Q7873",
  "hasConstraint": [
  {
  "label": "resting",
  "on": "human"
  },
  {
  "label": "systolic",
  "on": "pressure"
  }
  ],
  "__path": "test_set/C21_BloodPressure.json"
 }</t>
  </si>
  <si>
    <t>{
  "label": "Resting Systolic Blood Pressure",
  "definition": "Resting systolic blood pressure in millimeters of mercury (mmHg)",
  "comment": "resting, systolic, blood pressure",
  "hasProperty": "pressure",
  "hasObjectOfInterest": "blood",
  "hasMatrix": "",
  "hasConstraint": [
  {
  "label": "resting",
  "on": "pressure"
  },
  {
  "label": "systolic",
  "on": "pressure"
  }
  ],
  "hasStatisticalModifier": "",
  "hasContextObject": ""
 }</t>
  </si>
  <si>
    <t>Cellular dose in vitro of nanomaterials (mass / cell)</t>
  </si>
  <si>
    <t>{
  "label": "Cellular dose in vitro of nanomaterials (mass / cell)",
  "definition": "the mass of nanomaterial internalised into the cell over the duration of the experiment, mass per cell",
  "comment": "nanomaterial; location: intracellular; cell ; mass per cell; ADD: group of cells",
  "hasProperty": "mass per cell",
  "hasMatrix": "group of cells",
  "hasMatrixURI": "https://www.wikidata.org/wiki/Q20088819",
  "hasObjectOfInterest": {
  "AsymmetricSystem": "nedaa1e0ded6c4859963569c42f304e7bb1",
  "hasSource": "nanomaterial",
  "hasTarget": "cell"
  },
  "hasConstraint": [
  {
  "label": "intracellular",
  "on": "nedaa1e0ded6c4859963569c42f304e7bb1"
  },
  {
  "label": "duration of the experiment",
  "on": "mass per cell"
  }
  ],
  "__path": "test_set/C23_NanoparticleDose.json"
 }</t>
  </si>
  <si>
    <t>{
  "label": "",
  "definition": "the mass of nanomaterial internalised into the cell over the duration of the experiment, mass per cell",
  "comment": "mass of nanomaterial internalized into cell per cell",
  "hasProperty": "mass",
  "hasObjectOfInterest": "nanomaterial",
  "hasMatrix": "cell",
  "hasConstraint": [
  {
  "label": "per cell",
  "on": "mass"
  }
  ],
  "hasStatisticalModifier": "",
  "hasContextObject": ""
 }</t>
  </si>
  <si>
    <t>Observation of bloodtype in blood</t>
  </si>
  <si>
    <t>{
  "label": "Observation of bloodtype in blood",
  "definition": "Type of blood in a blood sample",
  "comment": "blood; patient; clood type",
  "hasProperty": "blood type",
  "hasPropertyURI": "https://www.wikidata.org/wiki/Q47657",
  "hasMatrix": "person",
  "hasMatrixURI": "https://www.wikidata.org/wiki/Q5",
  "hasObjectOfInterest": "blood",
  "hasObjectOfInterestURI": "https://www.wikidata.org/wiki/Q7873",
  "__path": "test_set/Bloodtype.json"
 }</t>
  </si>
  <si>
    <t>{
  "label": "Type of blood in a blood sample",
  "definition": "Type of blood in a blood sample",
  "comment": "Type of blood in a sample",
  "hasProperty": "type",
  "hasObjectOfInterest": "blood",
  "hasMatrix": "blood sample",
  "hasStatisticalModifier": "",
  "hasContextObject": "",
  "hasConstraint": []
 }</t>
  </si>
  <si>
    <t>EWCT Eastward velocity of water current in the water body by high frequency radar</t>
  </si>
  <si>
    <t>{
  "label": "EWCT Eastward velocity of water current in the water body by high frequency radar",
  "definition": "Component of the sea surface current velocity that is directed eastward (positive values) or westward (negative values)",
  "comment": "Eastward; velocity; water current; water body; positive if eastward",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"eastward",
  "on": "velocity"
  },
  {
  "label": "at the surface",
  "on": "water body"
  },
  {
  "label": "positive eastward",
  "on": "velocity"
  }
  ],
  "__path": "test_set/EWCT.json"
 }</t>
  </si>
  <si>
    <t>{
  "label": "East-West Sea Surface Current Velocity Component",
  "definition": "Component of the sea surface current velocity that is directed eastward (positive values) or westward (negative values)",
  "comment": "East-west component of sea surface current velocity",
  "hasProperty": "velocity",
  "hasObjectOfInterest": "sea surface current",
  "hasMatrix": "sea surface",
  "hasStatisticalModifier": "",
  "hasContextObject": "",
  "hasConstraint": []
 }</t>
  </si>
  <si>
    <t>{
  "label": "Fraction of flooded area around building",
  "definition": "Fraction of flooded area above 30 cm water level within a 5 m buffer around an affected building",
  "comment": "Fraction of flooded area above 30 cm water level within a 5 m buffer around an affected building",
  "hasProperty": "area fraction",
  "hasObjectOfInterest": {
  "AsymmetricSystem": "ratio",
  "hasSource": "flooded area",
  "hasTarget": "surrounding area"
  },
  "hasConstraint": [
  {
  "label": "area per area",
  "on": "area fraction"
  },
  {
  "label": "flooded above 30 cm",
  "on": "flooded area"
  },
  {
  "label": "buffer area of 5m around an affected building",
  "on": "surrounding area"
  }
  ],
  "__path": "test_set/FractionFloodedBuilding.json"
 }</t>
  </si>
  <si>
    <t>{
  "label": "Surface runoff",
  "definition": "Fraction of flooded area above 30 cm water level within a 5 m buffer around an affected building",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</si>
  <si>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Total Number of people living in a statistical unit</t>
  </si>
  <si>
    <t>{
  "label": "Total Number of people living in a statistical unit",
  "definition": "total number of people living within a statistical unit which is defined as a grouping of homogeneous neighboring building blocks",
  "comment": "total number of people living within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"https://www.wikidata.org/wiki/Q5",
  "hasConstraint": [
  {
  "label": "grouping of homogeneous neighboring building blocks",
  "on": "statistical unit"
  },
  {
  "label": "living in the buildings",
  "on": "person"
  }
  ],
  "__path": "test_set/NumberPers.json"
 }</t>
  </si>
  <si>
    <t>{
  "label": "Total number of people in statistical unit",
  "definition": "total number of people living within a statistical unit which is defined as a grouping of homogeneous neighboring building blocks",
  "comment": "total count of residents in a defined statistical unit composed of adjacent homogeneous building blocks",
  "hasProperty": "number",
  "hasObjectOfInterest": "people",
  "hasStatisticalModifier": "",
  "hasMatrix": "",
  "hasContextObject": "",
  "hasConstraint": []
 }</t>
  </si>
  <si>
    <t>{
  "label": "density of benzene",
  "definition": "mass density of a 10.00 mL sample of ACS reagent grade (99.0 (v/v)) benzene at a room temperature",
  "comment": "mass density; 10.00 mL sample; ACS reagent grade (99.0 (v/v)); benzene; at a room temperature",
  "hasProperty": "mass density",
  "hasPropertyURI": "https://www.wikidata.org/wiki/Q29539",
  "hasObjectOfInterest": "benzene (C6H6)",
  "hasObjectOfInterestURI": "https://www.wikidata.org/wiki/Q2270",
  "hasConstraint": [
  {
  "label": "at room temperature",
  "on": "mass density"
  },
  {
  "label": "10.00 mL sample",
  "on": "benzene (C6H6)"
  },
  {
  "label": "ACS reagent grade (99.0 (v/v))",
  "on": "benzene (C6H6)"
  }
  ],
  "__path": "test_set/DENSVAR.json"
 }</t>
  </si>
  <si>
    <t>{
  "label": "",
  "definition": "mass density of a 10.00 mL sample of ACS reagent grade (99.0 (v/v)) benzene at a room temperature",
  "comment": "mass density; 10.00 mL sample; ACS reagent grade; 99.0 (v/v); benzene; room temperature",
  "hasProperty": "mass density",
  "hasObjectOfInterest": "benzene",
  "hasMatrix": "",
  "hasConstraint": [
  {
  "label": "ACS reagent grade",
  "on": "benzene"
  },
  {
  "label": "99.0 (v/v)",
  "on": "benzene"
  },
  {
  "label": "room temperature",
  "on": "benzene"
  }
  ],
  "hasStatisticalModifier": "",
  "hasContextObject": ""
 }</t>
  </si>
  <si>
    <t>Ice water content in atmosphere</t>
  </si>
  <si>
    <t>{
  "label": "Ice water content in atmosphere",
  "definition": "mass concentration of ice in atmosphere measured in g/m3",
  "comment": "g/m3-&gt; mass concentration, ice -&gt; water, state:solid, atmosphere",
  "hasProperty": "mass concentration",
  "hasPropertyURI": "https://www.wikidata.org/wiki/Q589446",
  "hasObjectOfInterest": {
  "AsymmetricSystem": "bc_0_b6_b0",
  "hasSource": "water",
  "hasTarget": "atmosphere"
  },
  "hasConstraint": [
  {
  "label": "solid",
  "on": "water"
  }
  ],
  "__path": "test_set/IceConcentration.json"
 }</t>
  </si>
  <si>
    <t>{
  "label": "mass concentration of ice in atmosphere",
  "definition": "mass concentration of ice in atmosphere measured in g/m3",
  "comment": "mass concentration of ice in the atmosphere measured in grams per cubic meter",
  "hasProperty": "mass concentration",
  "hasObjectOfInterest": "ice",
  "hasMatrix": "atmosphere",
  "hasStatisticalModifier": "",
  "hasContextObject": "",
  "hasConstraint": []
 }</t>
  </si>
  <si>
    <t>{
  "label": "solubility of molecular oxygen from air in water",
  "definition": "solubility of molecular oxygen from air in water with MilliQ (10.2MOhm) purity at local air conditions",
  "comment": "solubility; molecular oxygen; air; water; MilliQ (10.2MOhm) purity; at local air conditions",
  "hasProperty": "mass concentration",
  "hasPropertyURI": "https://www.wikidata.org/wiki/Q589446",
  "hasObjectOfInterest": {
  "AsymmetricSystem": "bc_0_b10_b0",
  "hasSource": "molecular oxygen",
  "hasTarget": "water"
  },
  "hasConstraint": [
  {
  "label": "at local air conditions",
  "on": "mass concentration"
  },
  {
  "label": "air",
  "on": "molecular oxygen"
  },
  {
  "label": "purity 99.82 (w/w)",
  "on": "water"
  }
  ],
  "__path": "test_set/GLVAR.json"
 }</t>
  </si>
  <si>
    <t>{
  "label": "Solubility of molecular oxygen in water",
  "definition": "solubility of molecular oxygen from air in water with MilliQ (10.2MOhm) purity at local air conditions",
  "comment": "solubility of molecular oxygen in water under local air conditions with MilliQ purity",
  "hasProperty": "solubility",
  "hasObjectOfInterest": "molecular oxygen",
  "hasMatrix": "water",
  "hasConstraint": [
  {
  "label": "MilliQ (10.2MOhm) purity",
  "on": "water"
  },
  {
  "label": "local air conditions",
  "on": "solubility"
  }
  ],
  "hasStatisticalModifier": "",
  "hasContextObject": ""
 }</t>
  </si>
  <si>
    <t>Determination of iron concentration in a soil sample</t>
  </si>
  <si>
    <t>{
  "label": "Determination of iron concentration in a soil sample",
  "definition": "Determination of iron concentration in a soil sample by colorimetric analysis using ortho-phenanthroline as mass fraction",
  "comment": "Determination of iron concentration in a soil sample by colorimetric analysis using ortho-phenanthroline as mass fraction",
  "hasProperty": "mass fraction",
  "hasPropertyURI": "https://www.wikidata.org/wiki/Q899138",
  "hasObjectOfInterest": {
  "AsymmetricSystem": "n0d714071d43243828d4943704803de06b1",
  "hasSource": "iron(II)",
  "hasTarget": "soil"
  },
  "__path": "test_set/CONCVAR.json"
 }</t>
  </si>
  <si>
    <t>{
  "label": "Iron concentration in soil sample",
  "definition": "Determination of iron concentration in a soil sample by colorimetric analysis using ortho-phenanthroline as mass fraction",
  "comment": "iron; concentration; mass fraction; soil",
  "hasProperty": "concentration",
  "hasObjectOfInterest": "iron",
  "hasMatrix": "soil",
  "hasStatisticalModifier": "",
  "hasContextObject": "",
  "hasConstraint": []
 }</t>
  </si>
  <si>
    <t>{
  "label": "solubility of benzene in water",
  "definition": "solubility (g/L) of 99.82 (w/w) pure benzene in deionized water at phase equilibrium and 298.15 K",
  "comment": "solubility; 99.82 (w/w) pure; benzene; deionized; water; 298.15 K, ADD: dissolved",
  "hasProperty": "mass concentration",
  "hasPropertyURI": "https://www.wikidata.org/wiki/Q589446",
  "hasObjectOfInterest": {
  "AsymmetricSystem": "n82679e5f20fd4e04bea7890acecbc325b1",
  "hasSource": "benzene",
  "hasTarget": "water"
  },
  "hasConstraint": [
  {
  "label": "at 298.15 K thermodynamic temperature",
  "on": "mass concentration"
  },
  {
  "label": "dissolved",
  "on": "benzene"
  },
  {
  "label": "dionized",
  "on": "water"
  },
  {
  "label": "purity 99.82 (w/w)",
  "on": "benzene"
  }
  ],
  "__path": "test_set/LLVAR.json"
 }</t>
  </si>
  <si>
    <t>{
  "label": "Solubility of pure benzene in deionized water",
  "definition": "solubility (g/L) of 99.82 (w/w) pure benzene in deionized water at phase equilibrium and 298.15 K",
  "comment": "solubility; benzene; deionized water; 99.82% purity; phase equilibrium; 298.15 K",
  "hasProperty": "solubility",
  "hasObjectOfInterest": "benzene",
  "hasMatrix": "deionized water",
  "hasConstraint": [
  {
  "label": "99.82 (w/w) pure",
  "on": "benzene"
  },
  {
  "label": "phase equilibrium",
  "on": "solubility"
  },
  {
  "label": "298.15 K",
  "on": "solubility"
  }
  ],
  "hasStatisticalModifier": "",
  "hasContextObject": ""
 }</t>
  </si>
  <si>
    <t>Chronic pain grade scale</t>
  </si>
  <si>
    <t>{
  "label": "Chronic pain grade scale",
  "definition": "Category: Clinical, Unit: descriptional/grade of a scale",
  "comment": "pain; person; ADD: role: patient; grade; temporal extent: chronic; controlled list: scale",
  "hasProperty": "grade",
  "hasPropertyURI": "https://www.wikidata.org/wiki/Q18185",
  "hasObjectOfInterest": "pain",
  "hasObjectOfInterestURI": "https://www.wikidata.org/wiki/Q81938",
  "hasContextObject": "person",
  "hasContextObjectURI": "https://www.wikidata.org/wiki/Q5",
  "hasConstraint": [
  {
  "label": "chronic",
  "on": "pain"
  },
  {
  "label": "scale",
  "on": "grade"
  },
  {
  "label": "patient",
  "on": "person"
  }
  ],
  "__path": "test_set/Pain.json"
 }</t>
  </si>
  <si>
    <t>{
  "label": "Clinical Grade",
  "definition": "Category: Clinical, Unit: descriptional/grade of a scale",
  "comment": "Clinical category described by a grade on a scale",
  "hasProperty": "grade",
  "hasObjectOfInterest": "Clinical",
  "hasMatrix": "",
  "hasConstraint": [],
  "hasStatisticalModifier": "",
  "hasContextObject": ""
 }</t>
  </si>
  <si>
    <t>HRV Heart rate variabilty</t>
  </si>
  <si>
    <t>{
  "label": "HRV Heart rate variabilty",
  "definition": "HRV- Heart rate variability, Category: ECG metrics, Ontology: BMONT Unit: milliseconds (ms)",
  "comment": "contractions; person; ADD: role:patient; variation; time interval; type: heart; interval: n+(n+1)",
  "hasProperty": "time interval",
  "hasPropertyURI": "https://www.wikidata.org/wiki/Q186081",
  "hasStatisticalModifier": "variance",
  "hasStatisticalModifierURI": "https://www.wikidata.org/wiki/Q175199",
  "hasMatrix": "person",
  "hasMatrixURI": "https://www.wikidata.org/wiki/Q5",
  "hasObjectOfInterest": "muscle contractions",
  "hasObjectOfInterestURI": "https://www.wikidata.org/wiki/Q127006",
  "hasConstraint": [
  {
  "label": "heart",
  "on": "muscle contractions"
  },
  {
  "label": "n+(n+1)",
  "on": "muscle contractions"
  },
  {
  "label": "patient",
  "on": "person"
  }
  ],
  "__path": "test_set/HRV.json"
 }</t>
  </si>
  <si>
    <t>{
  "label": "HRV- Heart rate variability",
  "definition": "HRV- Heart rate variability, Category: ECG metrics, Ontology: BMONT Unit: milliseconds (ms)",
  "comment": "Heart rate variability measured in milliseconds, part of ECG metrics",
  "hasProperty": "time interval",
  "hasObjectOfInterest": "heart contractions",
  "hasMatrix": "",
  "hasConstraint": [],
  "hasStatisticalModifier": "",
  "hasContextObject": ""
 }</t>
  </si>
  <si>
    <t>Concentration of dissolved organic carbon in water</t>
  </si>
  <si>
    <t>{
  "label": "Concentration of dissolved organic carbon in water",
  "definition": "Mass concentration of dissolved organic carbon in water",
  "comment": "Mass concentration of dissolved organic carbon in water",
  "hasProperty": "mass concentration",
  "hasPropertyURI": "https://www.wikidata.org/wiki/Q589446",
  "hasObjectOfInterest": {
  "AsymmetricSystem": "nd1d775ed6a5f4b45ab60eb046114ff77b1",
  "hasSource": "carbon",
  "hasTarget": "water"
  },
  "hasConstraint": [
  {
  "label": "dissolved",
  "on": "carbon"
  },
  {
  "label": "organic",
  "on": "carbon"
  }
  ],
  "__path": "test_set/ConcCarbon.json"
 }</t>
  </si>
  <si>
    <t>{
  "label": "Mass concentration of dissolved organic carbon in water",
  "definition": "Mass concentration of dissolved organic carbon in water",
  "comment": "dissolved organic carbon; mass concentration; water",
  "hasProperty": "mass concentration",
  "hasObjectOfInterest": "organic carbon",
  "hasMatrix": "water",
  "hasConstraint": [
  {
  "label": "dissolved",
  "on": "organic carbon"
  }
  ],
  "hasStatisticalModifier": "",
  "hasContextObject": ""
 }</t>
  </si>
  <si>
    <t>{
  "label": "Electron density in the solar wind",
  "definition": "Density (particle per cm3) of electrons measured in the Solar Wind.",
  "comment": "density, electron, solar wind",
  "hasProperty": "number density",
  "hasPropertyURI": "https://www.wikidata.org/wiki/Q108914962",
  "hasObjectOfInterest": {
  "AsymmetricSystem": "n6eede4de41f8461691f00826ba59e878b1",
  "hasSource": "electron",
  "hasTarget": "solar wind"
  },
  "__path": "test_set/C1_ElectronDensity.json"
 }</t>
  </si>
  <si>
    <t>{
  "label": "Density (particle per cm3) of electrons measured in the Solar Wind",
  "definition": "Density (particle per cm3) of electrons measured in the Solar Wind.",
  "comment": "electrons; density; Solar Wind",
  "hasProperty": "density",
  "hasObjectOfInterest": "electrons",
  "hasMatrix": "Solar Wind",
  "hasStatisticalModifier": "",
  "hasContextObject": "",
  "hasConstraint": []
 }</t>
  </si>
  <si>
    <t>Mass ratio of dehp in nail</t>
  </si>
  <si>
    <t>{
  "label": "Mass ratio of dehp in nail",
  "definition": "Mass ratio in dehp in nail",
  "comment": "nail, diethylhexyl phthalate, mass ratio, person",
  "hasProperty": "mass ratio",
  "hasPropertyURI": "https://www.wikidata.org/wiki/Q1563068",
  "hasMatrix": "person",
  "hasMatrixURI": "https://www.wikidata.org/wiki/Q5",
  "hasObjectOfInterest": {
  "AsymmetricSystem": "n03e08d1ce9fa4541b6f6df0ad0542fc4b1",
  "hasSource": "diethylhexyl phthalate ",
  "hasTarget": "nail"
  },
  "__path": "test_set/DehpNail.json"
 }</t>
  </si>
  <si>
    <t>{
  "label": "Mass ratio in dehp in nail",
  "definition": "Mass ratio in dehp in nail",
  "comment": "dehp; mass ratio; nail",
  "hasProperty": "mass ratio",
  "hasObjectOfInterest": "dehp",
  "hasMatrix": "nail",
  "hasStatisticalModifier": "",
  "hasContextObject": "",
  "hasConstraint": []
 }</t>
  </si>
  <si>
    <t>GDOP Geometric dilution of precision</t>
  </si>
  <si>
    <t>{
  "label": "GDOP Geometric dilution of precision ",
  "definition": "Geometric dilution of precision of the relative position, based on the position of the receiver and the transmitters.",
  "comment": "relative position; dilution of precision; position of receiver; position of transmitters",
  "hasProperty": "dilution of precision",
  "hasPropertyURI": "https://www.wikidata.org/wiki/Q616896",
  "hasObjectOfInterest": {
  "SymmetricSystem": "relative position",
  "hasPart": [
  "position of receiver",
  "position of transmitters"
  ]
  },
  "hasObjectOfInterestURI": "https://www.wikidata.org/wiki/Q23008351",
  "__path": "test_set/GDOP.json"
 }</t>
  </si>
  <si>
    <t>{
  "label": "Geometric dilution of precision of the relative position",
  "definition": "Geometric dilution of precision of the relative position, based on the position of the receiver and the transmitters.",
  "comment": "Geometric dilution of precision; relative position; receiver; transmitters",
  "hasProperty": "dilution of precision",
  "hasObjectOfInterest": "relative position",
  "hasConstraint": [
  {
  "label": "receiver position",
  "on": "relative position"
  },
  {
  "label": "transmitter position",
  "on": "relative position"
  }
  ],
  "hasStatisticalModifier": "",
  "hasMatrix": "",
  "hasContextObject": ""
 }</t>
  </si>
  <si>
    <t>ESPC Radial velocity (away from) standard deviation over the scatter patch of water current relative to instrument in the water body by high frequency radar</t>
  </si>
  <si>
    <t>{
  "label": "ESPC Radial velocity (away from) standard deviation over the scatter patch of water current relative to instrument in the water body by high frequency radar",
  "definition": "Standard deviation of the component of water velocity in a water body along radial lines centered at the HFR antenna, evaluated over the scatter patch",
  "comment": "water current; water body; at the surface; standard deviation; over the scatter patch; sea; velocity; radial; positive away from the instrument; relative to the instrument",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"over the scatter patch",
  "on": "standard deviation"
  },
  {
  "label": "radial",
  "on": "Velocity"
  },
  {
  "label": "positive away from the instrument",
  "on": "Velocity"
  },
  {
  "label": "relative to instrument",
  "on": "Velocity"
  }
  ],
  "__path": "test_set/ESPC.json"
 }</t>
  </si>
  <si>
    <t>{
  "label": "Standard deviation of the component of water velocity in a water body along radial lines centered at the HFR antenna, evaluated over the scatter patch",
  "definition": "Standard deviation of the component of water velocity in a water body along radial lines centered at the HFR antenna, evaluated over the scatter patch",
  "comment": "Standard deviation of water velocity component along radial lines from HFR antenna in a water body, measured over scatter patch.",
  "hasProperty": "velocity component",
  "hasStatisticalModifier": "standard deviation",
  "hasObjectOfInterest": "water",
  "hasMatrix": "water body",
  "hasConstraint": [
  {
  "label": "scatter patch",
  "on": "velocity component"
  },
  {
  "label": "radial lines centered at HFR antenna",
  "on": "velocity component"
  }
  ],
  "hasContextObject": ""
 }</t>
  </si>
  <si>
    <t>NSCT Northward velocity of water current in the water body by high frequency radar</t>
  </si>
  <si>
    <t>{
  "label": "NSCT Northward velocity of water current in the water body by high frequency radar",
  "definition": "Component of the sea surface current velocity that is directed northward (positive values) or southward (negative values)",
  "comment": "water current; water -&gt; water body; surface layer -&gt; at the surface; sea; velocity; norhtward -&gt; northward",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"at the surface",
  "on": "water body"
  },
  {
  "label": "northward",
  "on": "velocity"
  }
  ],
  "__path": "test_set/NSCT.json"
 }</t>
  </si>
  <si>
    <t>{
  "label": "",
  "definition": "Component of the sea surface current velocity that is directed northward (positive values) or southward (negative values)",
  "comment": "Component of sea surface current velocity directed northward or southward",
  "hasProperty": "velocity",
  "hasObjectOfInterest": "sea surface current",
  "hasMatrix": "sea",
  "hasConstraint": [
  {
  "label": "northward (positive) or southward (negative)",
  "on": "velocity"
  }
  ],
  "hasStatisticalModifier": "",
  "hasContextObject": ""
 }</t>
  </si>
  <si>
    <t>Average number of persons without high school diploma during the last 3 years within a statistical unit</t>
  </si>
  <si>
    <t>{
  "label": "Average number of persons without high school diploma during the last 3 years within a statistical unit",
  "definition": "Average number of persons without high school diploma during the last 3 years in a statistical unit which is defined as a grouping of homogeneous neighboring building blocks",
  "comment": "Average number of persons without high school diploma during the last 3 years in a statistical unit which is defined as a grouping of homogeneous neighboring building blocks",
  "hasProperty": "number",
  "hasPropertyURI": "https://www.wikidata.org/wiki/Q11563",
  "hasStatisticalModifier": "arithmetic mean",
  "hasStatisticalModifierURI": "https://www.wikidata.org/wiki/Q19033",
  "hasMatrix": "statistical unit",
  "hasMatrixURI": "https://www.wikidata.org/wiki/Q3409269",
  "hasObjectOfInterest": "person",
  "hasObjectOfInterestURI": "https://www.wikidata.org/wiki/Q215627",
  "hasConstraint": [
  {
  "label": "without high school diploma in the past three years",
  "on": "person"
  },
  {
  "label": "grouping of homogeneous neighboring building blocks",
  "on": "statistical unit"
  }
  ],
  "__path": "test_set/NoHighSchool.json"
 }</t>
  </si>
  <si>
    <t>{
  "label": "Average Number of Persons Without High School Diploma in Statistical Unit Over Last 3 Years",
  "definition": "Average number of persons without high school diploma during the last 3 years in a statistical unit which is defined as a grouping of homogeneous neighboring building blocks",
  "comment": "average; persons without high school diploma; 3-year period; statistical unit -&gt; grouping of homogeneous neighboring building blocks",
  "hasProperty": "count",
  "hasStatisticalModifier": "average",
  "hasObjectOfInterest": "persons without high school diploma",
  "hasMatrix": "statistical unit",
  "hasConstraint": [
  {
  "label": "last 3 years",
  "on": "count"
  },
  {
  "label": "grouping of homogeneous neighboring building blocks",
  "on": "statistical unit"
  }
  ],
  "hasContextObject": ""
 }</t>
  </si>
  <si>
    <t>Number of elderly people living alone in a statistical unit</t>
  </si>
  <si>
    <t>{
  "label": "Number of elderly people living alone in a statistical unit",
  "definition": "number of elderly people living alone in a statistical unit which is defined as a grouping of homogeneous neighboring building blocks",
  "comment": "number of elderly people living alone in a statistical unit which is defined as a grouping of homogeneous neighboring building blocks",
  "hasProperty": "number",
  "hasPropertyURI": "https://www.wikidata.org/wiki/Q11563",
  "hasMatrix": "statistical unit",
  "hasMatrixURI": "https://www.wikidata.org/wiki/Q3409269",
  "hasObjectOfInterest": "elderly person",
  "hasObjectOfInterestURI": "https://www.wikidata.org/wiki/Q1358789",
  "hasConstraint": [
  {
  "label": "living alone",
  "on": "elderly person"
  },
  {
  "label": "age over 65 years",
  "on": "elderly person"
  },
  {
  "label": "grouping of homogeneous neighboring building blocks",
  "on": "statistical unit"
  }
  ],
  "__path": "test_set/ElderlyAlone.json"
 }</t>
  </si>
  <si>
    <t>{
  "label": "Number of elderly people living alone in a statistical unit",
  "definition": "number of elderly people living alone in a statistical unit which is defined as a grouping of homogeneous neighboring building blocks",
  "comment": "elderly people living alone, statistical unit",
  "hasProperty": "number",
  "hasObjectOfInterest": "elderly people living alone",
  "hasMatrix": {
  "SymmetricSystem": "statistical unit",
  "hasPart": [
  "building blocks"
  ]
  },
  "hasConstraint": [
  {
  "label": "homogeneous",
  "on": "building blocks"
  }
  ],
  "hasStatisticalModifier": "",
  "hasContextObject": ""
 }</t>
  </si>
  <si>
    <t>Potential evaporation</t>
  </si>
  <si>
    <t>{
  "label": "Potential evaporation",
  "definition": "Potential evaporation l m⁻² s⁻¹",
  "comment": "condition: evaporated, condition: at non-limiting water supply, soil, volume flux, flow, water, atmosphere",
  "hasProperty": "volume flux",
  "hasPropertyURI": "https://www.wikidata.org/wiki/Q55753416",
  "hasMatrix": {
  "AsymmetricSystem": "n80132154d9984e2589a9fa6d02c3bf3ab1",
  "hasSource": "soil",
  "hasTarget": "atmosphere"
  },
  "hasObjectOfInterest": "water",
  "hasConstraint": [
  {
  "label": "at non-limiting water supply",
  "on": "water"
  },
  {
  "label": "evaporated",
  "on": "water"
  }
  ],
  "__path": "test_set/PotEvap.json"
 }</t>
  </si>
  <si>
    <t>{
  "label": "Potential evaporation",
  "definition": "Potential evaporation l m⁻² s⁻¹",
  "comment": "potential evaporation rate",
  "hasProperty": "volume flow rate",
  "hasObjectOfInterest": "water",
  "hasMatrix": "surface",
  "hasConstraint": [
  {
  "label": "potential",
  "on": "volume flow rate"
  }
  ],
  "hasStatisticalModifier": "",
  "hasContextObject": ""
 }</t>
  </si>
  <si>
    <t>Snow water equivalent</t>
  </si>
  <si>
    <t>{
  "label": "Snow water equivalent",
  "definition": "Snow Water Equivalent or Surface Snow Amount is the mass of water per unit area (kg/m²)",
  "comment": "condition: if the snow melted, snow, water, surface density",
  "hasProperty": "surface density",
  "hasPropertyURI": "https://www.wikidata.org/wiki/Q1907514",
  "hasObjectOfInterest": {
  "AsymmetricSystem": "nbe94329f14134ad497cba32270e5ce5ab1",
  "hasSource": "water",
  "hasTarget": "snow"
  },
  "hasConstraint": [
  {
  "label": "if the snow melted",
  "on": "snow"
  }
  ],
  "__path": "test_set/SnowEquiv.json"
 }</t>
  </si>
  <si>
    <t>{
  "label": "Snow Water Equivalent",
  "definition": "Snow Water Equivalent or Surface Snow Amount is the mass of water per unit area (kg/m²)",
  "comment": "mass of water per unit area",
  "hasProperty": "surface density",
  "hasObjectOfInterest": "water",
  "hasStatisticalModifier": "",
  "hasMatrix": "",
  "hasContextObject": "",
  "hasConstraint": []
 }</t>
  </si>
  <si>
    <t>Number of persons receiving welfare in a statistical unit</t>
  </si>
  <si>
    <t>{
  "label": "Number of persons receiving welfare in a statistical unit",
  "definition": "number of persons receiving welfare in a statistical unit which is defined as a grouping of homogeneous neighboring building blocks",
  "comment": "number of persons receiving welfare in a statistical unit which is defined as a grouping of homogeneous neighboring building blocks",
  "hasProperty": "number",
  "hasPropertyURI": "https://www.wikidata.org/wiki/Q11563",
  "hasMatrix": "statistical unit",
  "hasMatrixURI": "https://www.wikidata.org/wiki/Q3409269",
  "hasObjectOfInterest": "person",
  "hasObjectOfInterestURI": "https://www.wikidata.org/wiki/Q215627",
  "hasConstraint": [
  {
  "label": "receiving welfare",
  "on": "person"
  },
  {
  "label": "grouping of homogeneous neighboring building blocks",
  "on": "statistical unit"
  }
  ],
  "__path": "test_set/PersWelfare.json"
 }</t>
  </si>
  <si>
    <t>{
  "label": "Surface runoff",
  "definition": "number of persons receiving welfare in a statistical unit which is defined as a grouping of homogeneous neighboring building blocks",
  "comment": "condition: not soaking into the ground, surface, water body, mass flow, water",
  "hasProperty": "mass flow",
  "hasObjectOfInterest": "water",
  "hasMatrix": {
  "AsymmetricSystem": "flow",
  "hasSource": "surface",
  "hasTarget": "water body"
  },
  "hasConstraint": [
  {
  "label": "not soaking into the ground",
  "on": "surface"
  }
  ],
  "hasStatisticalModifier": "",
  "hasContextObject": ""
 }</t>
  </si>
  <si>
    <t>Overnight stays in 3-star hotel near the sea shore</t>
  </si>
  <si>
    <t>{
  "label": "Overnight stays in 3-star hotel near the sea shore",
  "definition": "Number of nights in a 3-star hotel near the sea shore",
  "comment": "nights; hotel; number; location: near the sea shore; type: 3 star",
  "hasProperty": "number",
  "hasPropertyURI": "https://www.wikidata.org/wiki/Q11563",
  "hasMatrix": "hotel",
  "hasMatrixURI": "https://www.wikidata.org/wiki/Q27686",
  "hasObjectOfInterest": "nights",
  "hasObjectOfInterestURI": "https://www.wikidata.org/wiki/Q575",
  "hasConstraint": [
  {
  "label": "near the sea shore",
  "on": "hotel"
  },
  {
  "label": "3 star",
  "on": "hotel"
  }
  ],
  "__path": "test_set/C28_CountOvernightstay.json"
 }</t>
  </si>
  <si>
    <t>{
  "label": "Number of nights in a 3-star hotel near the sea shore",
  "definition": "Number of nights in a 3-star hotel near the sea shore",
  "comment": "Number of nights spent in a 3-star hotel located near the seashore.",
  "hasProperty": "count",
  "hasObjectOfInterest": "nights",
  "hasConstraint": [
  {
  "label": "3-star",
  "on": "hotel"
  },
  {
  "label": "near seashore",
  "on": "hotel"
  }
  ],
  "hasStatisticalModifier": "",
  "hasMatrix": "",
  "hasContextObject": ""
 }</t>
  </si>
  <si>
    <t>boiling point of benzene</t>
  </si>
  <si>
    <t>{
  "label": "boiling point of benzene",
  "definition": "thermodynamic temperature for the boiling point (at the liquid to gas phase transition) of a known purity 99.07 (w/w) liquid sample of benzene at atmospheric pressure",
  "comment": "thermodynamic temperature; at the liquid to gas phase transition; purity 99.07 (w/w); benzene; at atmospheric pressure",
  "hasProperty": "thermodynamic temperature",
  "hasPropertyURI": "https://www.wikidata.org/wiki/Q264647",
  "hasObjectOfInterest": "benzene",
  "hasObjectOfInterestURI": "https://www.wikidata.org/wiki/Q2270",
  "hasConstraint": [
  {
  "label": "liquid to gas phase transition",
  "on": "thermodynamic temperature"
  },
  {
  "label": "at 1 atm pressure",
  "on": "thermodynamic temperature"
  },
  {
  "label": "purity 99.07 (w/w)",
  "on": "benzene"
  }
  ],
  "__path": "test_set/BPVAR.json"
 }</t>
  </si>
  <si>
    <t>{
  "label": "Thermodynamic Temperature at Boiling Point of Purity 99.07 (w/w) Benzene at Atmospheric Pressure",
  "definition": "thermodynamic temperature for the boiling point (at the liquid to gas phase transition) of a known purity 99.07 (w/w) liquid sample of benzene at atmospheric pressure",
  "comment": "Boiling point temperature of a 99.07% pure benzene sample at atmospheric pressure.",
  "hasProperty": "thermodynamic temperature",
  "hasObjectOfInterest": "benzene",
  "hasConstraint": [
  {
  "label": "purity 99.07 (w/w)",
  "on": "benzene"
  },
  {
  "label": "atmospheric pressure",
  "on": "thermodynamic temperature"
  }
  ],
  "hasStatisticalModifier": "",
  "hasMatrix": "",
  "hasContextObject": ""
 }</t>
  </si>
  <si>
    <t>Standard metabolic rate in mg of Oxygen per hour</t>
  </si>
  <si>
    <t>{
  "label": "Standard metabolic rate in mg of Oxygen per hour",
  "definition": "The measure of an ectotherm animal's baseline metabolic rate (i.e. non-active, non-stressed) measured by the milligrams of oxygen consumed in a period of time of one hour.",
  "comment": "oxygen, from air to organism, MassFlowRate -&gt; mass flow rate, condition: used in the metabolic process, air, organism, ectotherm -&gt; type: ectotherm, non-stressed -&gt; condition: non-stressed, non-active -&gt; state: non-active, ADD: ratio: mass per time",
  "hasProperty": "mass flow rate",
  "hasPropertyURI": "https://www.wikidata.org/wiki/Q1366187",
  "hasMatrix": {
  "AsymmetricSystem": "flow",
  "hasSource": "air",
  "hasTarget": "organism"
  },
  "hasObjectOfInterest": "oxygen",
  "hasObjectOfInterestURI": "https://www.wikidata.org/wiki/Q5203615",
  "hasConstraint": [
  {
  "label": "ectotherm",
  "on": "organism"
  },
  {
  "label": "non-stressed",
  "on": "organism"
  },
  {
  "label": "non-active",
  "on": "organism"
  },
  {
  "label": "used in the metabolic process",
  "on": "flow"
  }
  ],
  "__path": "test_set/C16OxygenMetabolicRate.json"
 }</t>
  </si>
  <si>
    <t>{
  "label": "Baseline Metabolic Rate of Ectotherm Animal",
  "definition": "The measure of an ectotherm animal's baseline metabolic rate (i.e. non-active, non-stressed) measured by the milligrams of oxygen consumed in a period of time of one hour.",
  "comment": "Baseline metabolic rate of an ectotherm animal measured by oxygen consumption per hour under non-active and non-stressed conditions.",
  "hasProperty": "mass flow",
  "hasObjectOfInterest": "oxygen",
  "hasMatrix": "animal",
  "hasConstraint": [
  {
  "label": "ectotherm",
  "on": "animal"
  },
  {
  "label": "non-active",
  "on": "animal"
  },
  {
  "label": "non-stressed",
  "on": "animal"
  }
  ],
  "hasStatisticalModifier": "",
  "hasContextObject": ""
 }</t>
  </si>
  <si>
    <t>Total Deplorizadion Ratio</t>
  </si>
  <si>
    <t>{
  "label": "Total Deplorizadion Ratio",
  "definition": "Total Deplorization Ratio: Ratio of backscattered light from the cross-polarized channel to the backscattered light from the parallet-polarized channel. Total is referring to the air as a whole.",
  "comment": "Deplorization Ratio; air; ADD: atmosphere.",
  "hasProperty": "depolarization ratio",
  "hasPropertyURI": "https://www.wikidata.org/wiki/Q2095",
  "hasMatrix": "atmosphere",
  "hasMatrixURI": "https://www.wikidata.org/wiki/Q8104",
  "hasObjectOfInterest": "air",
  "hasObjectOfInterestURI": "https://www.wikidata.org/wiki/Q7391292",
  "__path": "test_set/DepolarizationRatio.json"
 }</t>
  </si>
  <si>
    <t>{
  "label": "Total Deplorization Ratio",
  "definition": "Total Deplorization Ratio: Ratio of backscattered light from the cross-polarized channel to the backscattered light from the parallet-polarized channel. Total is referring to the air as a whole.",
  "comment": "Ratio of cross-polarized to parallel-polarized backscattered light in air.",
  "hasProperty": "ratio",
  "hasObjectOfInterest": {
  "AsymmetricSystem": "ratio",
  "hasSource": "cross-polarized channel",
  "hasTarget": "parallel-polarized channel"
  },
  "hasMatrix": "air",
  "hasConstraint": [
  {
  "label": "Total",
  "on": "air"
  }
  ],
  "hasStatisticalModifier": "",
  "hasContextObject": ""
 }</t>
  </si>
  <si>
    <t>Foliage projective cover in the lower canopy strata</t>
  </si>
  <si>
    <t>{
  "label": "Foliage projective cover in the lower canopy strata",
  "definition": "The proportion (percentage) of the ground area covered by foliage (or photosynthetic tissue) in the lower canopy strata.",
  "comment": "foliage, lower canopy strata, ground, proportion -&gt; fraction",
  "hasProperty": "percentage",
  "hasPropertyURI": "https://www.wikidata.org/wiki/Q11229",
  "hasObjectOfInterest": {
  "AsymmetricSystem": "n78b50b4fdd054809817236a02bea2461b1",
  "hasSource": "foliage",
  "hasTarget": "study area"
  },
  "hasConstraint": [
  {
  "label": "lower canopy strata",
  "on": "foliage"
  }
  ],
  "__path": "test_set/C9_FoliageCover.json"
 }</t>
  </si>
  <si>
    <t>{
  "label": "Proportion of ground area covered by foliage in lower canopy strata",
  "definition": "The proportion (percentage) of the ground area covered by foliage (or photosynthetic tissue) in the lower canopy strata.",
  "comment": "proportion of ground area covered by foliage in lower canopy strata",
  "hasProperty": "proportion",
  "hasObjectOfInterest": "ground area",
  "hasConstraint": [
  {
  "label": "covered by foliage (or photosynthetic tissue)",
  "on": "ground area"
  },
  {
  "label": "lower canopy strata",
  "on": "ground area"
  }
  ],
  "hasStatisticalModifier": "",
  "hasMatrix": "",
  "hasContextObject": ""
 }</t>
  </si>
  <si>
    <t>{
  "label": "I129 deposition from Ringhals of Sweden",
  "definition": "I129 deposition from Ringhals of Sweden (I129se40) in atoms kg-1",
  "comment": "origin: Ringhals nuclear plant, condition: deposited, atoms per mass, Iodine-129, soil",
  "hasProperty": "number density",
  "hasPropertyURI": "https://www.wikidata.org/wiki/Q176449",
  "hasObjectOfInterest": {
  "AsymmetricSystem": "bc_0_b39_b0",
  "hasSource": "Iodine-129",
  "hasTarget": "soil"
  },
  "hasConstraint": [
  {
  "label": "Ringhals nuclear plant",
  "on": "bc_0_b39_b0"
  },
  {
  "label": "deposited",
  "on": "Iodine-129"
  }
  ],
  "__path": "test_set/I129se40.json"
 }</t>
  </si>
  <si>
    <t>{
  "label": "I129 deposition from Ringhals of Sweden (I129se40)",
  "definition": "I129 deposition from Ringhals of Sweden (I129se40) in atoms kg-1",
  "comment": "I129; deposition; Ringhals; Sweden; atoms per kilogram",
  "hasProperty": "deposition",
  "hasObjectOfInterest": "I129",
  "hasMatrix": "",
  "hasStatisticalModifier": "",
  "hasContextObject": "",
  "hasConstraint": []
 }</t>
  </si>
  <si>
    <t>{
  "label": "VART_QC Variance quality flag",
  "definition": "QC flags for radial velocity variance of water current, good data flag for those whose temporal variance is smaller than a maximum variance threshold.",
  "comment": "HCSS Radial velocity variance of water current, quality flag, good if under threshold value",
  "hasProperty": "quality flag",
  "hasObjectOfInterest": "HCSS Radial velocity variance of water current",
  "hasConstraint": [
  {
  "label": "good if temporal variance is smaller than a maximum variance threshold",
  "on": "quality flag"
  },
  {
  "label": "quality flag",
  "on": "quality flag"
  }
  ],
  "__path": "test_set/VARC_QC.json"
 }</t>
  </si>
  <si>
    <t>{
  "label": "QC flags for radial velocity variance of water current",
  "definition": "QC flags for radial velocity variance of water current, good data flag for those whose temporal variance is smaller than a maximum variance threshold.",
  "comment": "QC flags indicating good data based on temporal variance of radial velocity being below a threshold",
  "hasProperty": "variance",
  "hasObjectOfInterest": "radial velocity of water current",
  "hasMatrix": "",
  "hasConstraint": [
  {
  "label": "maximum variance threshold",
  "on": "variance"
  }
  ],
  "hasStatisticalModifier": "",
  "hasContextObject": ""
 }</t>
  </si>
  <si>
    <t>State of connection pipe</t>
  </si>
  <si>
    <t>{
  "label": "State of connection pipe",
  "definition": "State (faulty, cracked, ... ) of pipe connection in plastic with a diametre of 30 cm.",
  "comment": "state, pipe connection; plastic, diametre of 30 cm",
  "hasProperty": "state",
  "hasObjectOfInterest": "pipe connection",
  "hasConstraint": [
  {
  "label": "plastic",
  "on": "pipe connection"
  },
  {
  "label": "diameter of 30 cm",
  "on": "pipe connection"
  }
  ],
  "__path": "test_set/StateOfPipeConnection.json"
 }</t>
  </si>
  <si>
    <t>{
  "label": "State of Pipe Connection in Plastic with 30 cm Diameter",
  "definition": "State (faulty, cracked, ... ) of pipe connection in plastic with a diametre of 30 cm.",
  "comment": "Condition (faulty, cracked) of plastic pipe connection with 30 cm diameter.",
  "hasProperty": "state",
  "hasObjectOfInterest": "pipe connection",
  "hasMatrix": "plastic",
  "hasConstraint": [
  {
  "label": "diametre of 30 cm",
  "on": "pipe connection"
  }
  ],
  "hasStatisticalModifier": "",
  "hasContextObject": ""
 }</t>
  </si>
  <si>
    <t>{
  "label": "Percentage of number of children",
  "definition": "Percentage of number of children under 10 years versus total number of people dwelling in the buildings within a statistical unit which is defined as a grouping of homogeneous neighboring building blocks",
  "comment": "Percentage of number of children under 10 years versus total number of people dwelling in the buildings within a statistical unit which is defined as a grouping of homogeneous neighboring building blocks",
  "hasProperty": "percentage",
  "hasPropertyURI": "https://www.wikidata.org/wiki/Q11229",
  "hasMatrix": "statistical unit",
  "hasMatrixURI": "https://www.wikidata.org/wiki/Q3409269",
  "hasObjectOfInterest": {
  "AsymmetricSystem": "ratio",
  "hasSource": "child",
  "hasTarget": "inhabitant"
  },
  "hasConstraint": [
  {
  "label": "grouping of homogeneous neighboring building blocks",
  "on": "statistical unit"
  },
  {
  "label": "number per number",
  "on": "percentage"
  },
  {
  "label": "age under 10 years",
  "on": "child"
  },
  {
  "label": "living in the housing",
  "on": "ratio"
  }
  ],
  "__path": "test_set/PercentChild.json"
 }</t>
  </si>
  <si>
    <t>{
  "label": "Percentage of number of children under 10 years versus total number of people dwelling in the buildings within a statistical unit",
  "definition": "Percentage of number of children under 10 years versus total number of people dwelling in the buildings within a statistical unit which is defined as a grouping of homogeneous neighboring building blocks",
  "comment": "Percentage of children under 10 years versus total people in buildings within a statistical unit.",
  "hasProperty": "percentage",
  "hasObjectOfInterest": "children",
  "hasMatrix": "buildings",
  "hasConstraint": [
  {
  "label": "under 10 years",
  "on": "children"
  }
  ],
  "hasContextObject": "statistical unit",
  "hasStatisticalModifier": ""
 }</t>
  </si>
  <si>
    <t>Pluvial flood due to 100 year event</t>
  </si>
  <si>
    <t>{
  "label": "Pluvial flood due to 100 year event",
  "definition": "Pluvial flood due to 100 year event expressed as water depth caused by rainfall of 36 mm/h in a statistical unit, defined by a grouping of homogeneous neighboring building blocks",
  "comment": "Pluvial flood due to 100 year event expressed as water depth caused by rainfall of 36 mm/h in a statistical unit, defined by a grouping of homogeneous neighboring building blocks",
  "hasProperty": "depth",
  "hasPropertyURI": "https://www.wikidata.org/wiki/Q930412",
  "hasMatrix": "statistical unit",
  "hasMatrixURI": "https://www.wikidata.org/wiki/Q3409269",
  "hasObjectOfInterest": "water",
  "hasObjectOfInterestURI": "https://www.wikidata.org/wiki/Q283",
  "hasConstraint": [
  {
  "label": "grouping of homogeneous neighboring building blocks",
  "on": "statistical unit"
  },
  {
  "label": "36 mm/h rainfall",
  "on": "water"
  }
  ],
  "__path": "test_set/PluvialFlood.json"
 }</t>
  </si>
  <si>
    <t>{
  "label": "Pluvial flood water depth due to 100 year event",
  "definition": "Pluvial flood due to 100 year event expressed as water depth caused by rainfall of 36 mm/h in a statistical unit, defined by a grouping of homogeneous neighboring building blocks",
  "comment": "pluvial flood; 100 year event; water depth; rainfall 36 mm/h; statistical unit",
  "hasProperty": "water depth",
  "hasObjectOfInterest": "pluvial flood",
  "hasConstraint": [
  {
  "label": "100 year event",
  "on": "rainfall"
  },
  {
  "label": "36 mm/h",
  "on": "rainfall"
  },
  {
  "label": "statistical unit",
  "on": "area"
  }
  ],
  "hasStatisticalModifier": "",
  "hasMatrix": "",
  "hasContextObject": ""
 }</t>
  </si>
  <si>
    <t>RDVA Radial velocity (away from) of water current relative to instrument in the water body by High Frequency Radar</t>
  </si>
  <si>
    <t>{
  "label": "RDVA Radial velocity (away from) of water current relative to instrument in the water body by High Frequency Radar",
  "definition": "Component of the sea surface current velocity that is directed toward (negative values) or away from (positive values) the High Frequency Radar (HFR) antenna, measured along the lines of sights of the antenna, i.e. along radial lines centered at the HFR antenna.",
  "comment": "water current, water body, at the surface, sea, velocity, relative to instrument, positive away from the instrument, radial",
  "hasProperty": "velocity",
  "hasPropertyURI": "https://www.wikidata.org/wiki/Q11465",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"positive away from the instrument",
  "on": "velocity"
  },
  {
  "label": "radial",
  "on": "velocity"
  }
  ],
  "__path": "test_set/RDVA.json"
 }</t>
  </si>
  <si>
    <t>{
  "label": "Component of sea surface current velocity relative to HFR antenna",
  "definition": "Component of the sea surface current velocity that is directed toward (negative values) or away from (positive values) the High Frequency Radar (HFR) antenna, measured along the lines of sights of the antenna, i.e. along radial lines centered at the HFR antenna.",
  "comment": "Component of sea surface current velocity directed toward or away from HFR antenna, measured along radial lines from antenna",
  "hasProperty": "velocity",
  "hasObjectOfInterest": "sea surface current",
  "hasMatrix": "sea surface",
  "hasConstraint": [
  {
  "label": "toward or away from HFR antenna",
  "on": "velocity"
  },
  {
  "label": "along radial lines centered at HFR antenna",
  "on": "velocity"
  }
  ],
  "hasStatisticalModifier": "",
  "hasContextObject": ""
 }</t>
  </si>
  <si>
    <t>{
  "label": "Point sources of U-236 from Pacific Proving Grounds ",
  "definition": "Point sources of U-236 from Pacific Proving Grounds (U236PPG) in atoms kg-1",
  "comment": "location: point source, origin: Pacific Proving Grounds, soil, Uranium 236, atoms per mass",
  "hasProperty": "number density",
  "hasPropertyURI": "https://www.wikidata.org/wiki/Q176449",
  "hasObjectOfInterest": {
  "AsymmetricSystem": "bc_0_b41_b0",
  "hasSource": "Uranium 236",
  "hasTarget": "soil"
  },
  "hasConstraint": [
  {
  "label": "Pacific Proving Grounds",
  "on": "bc_0_b41_b0"
  }
  ],
  "__path": "test_set/U236PPG.json"
 }</t>
  </si>
  <si>
    <t>{
  "label": "Point sources of U-236 from Pacific Proving Grounds (U236PPG)",
  "definition": "Point sources of U-236 from Pacific Proving Grounds (U236PPG) in atoms kg-1",
  "comment": "U-236 point sources from Pacific Proving Grounds, concentration in atoms per kg",
  "hasProperty": "concentration",
  "hasObjectOfInterest": "U-236",
  "hasMatrix": "",
  "hasStatisticalModifier": "",
  "hasContextObject": "",
  "hasConstraint": []
 }</t>
  </si>
  <si>
    <t>Flood risk index related to mobility and accessibility</t>
  </si>
  <si>
    <t>{
  "label": "Flood risk index related to mobility and accessibility ",
  "definition": "Flood risk index related to mobility and accessibility when streets around the houses are flooded",
  "comment": "Flood risk index related to mobility and accessibility when streets around the houses are flooded",
  "hasProperty": "index",
  "hasMatrix": "statistical unit",
  "hasMatrixURI": "https://www.wikidata.org/wiki/Q3409269",
  "hasObjectOfInterest": "flood risk",
  "hasConstraint": [
  {
  "label": "streets around the houses are flooded",
  "on": "flood risk"
  },
  {
  "label": "grouping of homogeneous neighboring building blocks",
  "on": "statistical unit"
  },
  {
  "label": "mobility and accessibility",
  "on": "flood risk"
  }
  ],
  "__path": "test_set/FloodRiskMobility.json"
 }</t>
  </si>
  <si>
    <t>{
  "label": "Flood risk index related to mobility and accessibility when streets around the houses are flooded",
  "definition": "Flood risk index related to mobility and accessibility when streets around the houses are flooded",
  "comment": "flood risk index; mobility; accessibility; streets flooded",
  "hasProperty": "flood risk index",
  "hasObjectOfInterest": {
  "SymmetricSystem": "mobility and accessibility",
  "hasPart": [
  "mobility",
  "accessibility"
  ]
  },
  "hasMatrix": "",
  "hasContextObject": "streets around the houses",
  "hasConstraint": [
  {
  "label": "flooded",
  "on": "streets around the houses"
  }
  ],
  "hasStatisticalModifier": ""
 }</t>
  </si>
  <si>
    <t>Northward Near-Surface Wind</t>
  </si>
  <si>
    <t>{
  "label": "Northward Near-Surface Wind",
  "definition": "Northward Near-Surface Wind (v-component), measured in m s⁻¹",
  "comment": "Northward Near-Surface Wind (v-component), measured in m s⁻¹",
  "hasProperty": "speed",
  "hasPropertyURI": "https://www.wikidata.org/wiki/Q3711325",
  "hasObjectOfInterest": "wind",
  "hasObjectOfInterestURI": "https://www.wikidata.org/wiki/Q8094",
  "hasConstraint": [
  {
  "label": "near surface",
  "on": "wind"
  },
  {
  "label": "northward",
  "on": "wind"
  }
  ],
  "__path": "test_set/VAS.json"
 }</t>
  </si>
  <si>
    <t>{
  "label": "Northward Near-Surface Wind (v-component)",
  "definition": "Northward Near-Surface Wind (v-component), measured in m s⁻¹",
  "comment": "direction: northward; location: near surface; wind component: v-component",
  "hasProperty": "speed",
  "hasObjectOfInterest": "wind",
  "hasMatrix": "",
  "hasConstraint": [
  {
  "label": "northward",
  "on": "wind"
  },
  {
  "label": "near surface",
  "on": "wind"
  }
  ],
  "hasStatisticalModifier": "",
  "hasContextObject": ""
 }</t>
  </si>
  <si>
    <t>Country of birth of mother</t>
  </si>
  <si>
    <t>{
  "label": "Country of birth of mother",
  "definition": "country of birth of mother",
  "comment": "birth; person; country; condition: mother of patient",
  "hasProperty": "country",
  "hasPropertyURI": "https://www.wikidata.org/wiki/Q6256",
  "hasMatrix": "person",
  "hasMatrixURI": "https://www.wikidata.org/wiki/Q215627",
  "hasObjectOfInterest": "birth",
  "hasObjectOfInterestURI": "https://www.wikidata.org/wiki/Q14819852",
  "hasConstraint": [
  {
  "label": "mother of patient",
  "on": "person"
  }
  ],
  "__path": "test_set/country of birth of mother.json"
 }</t>
  </si>
  <si>
    <t>{
  "label": "country of birth of mother",
  "definition": "country of birth of mother",
  "comment": "Mother's birth country.",
  "hasProperty": "country of birth",
  "hasObjectOfInterest": "mother",
  "hasMatrix": "",
  "hasStatisticalModifier": "",
  "hasContextObject": "",
  "hasConstraint": []
 }</t>
  </si>
  <si>
    <t>Mass concentration of tbph in breast milk</t>
  </si>
  <si>
    <t>{
  "label": "Mass concentration of tbph in breast milk",
  "definition": "Mass concentration of tbph in breast milk",
  "comment": "breast milk, bis(2-ethylhexyl) tetrabromophthalate, mass concentration, person",
  "hasProperty": "mass concentration",
  "hasPropertyURI": "https://www.wikidata.org/wiki/Q589446",
  "hasMatrix": "person",
  "hasMatrixURI": "https://www.wikidata.org/wiki/Q5",
  "hasObjectOfInterest": {
  "AsymmetricSystem": "n19b43533f0994b5db12e494c3f669147b1",
  "hasSource": "bis(2-ethylhexyl) tetrabromophthalate ",
  "hasTarget": "breast milk"
  },
  "__path": "test_set/TBPHMilk.json"
 }</t>
  </si>
  <si>
    <t>{
  "label": "Mass concentration of tbph in breast milk",
  "definition": "Mass concentration of tbph in breast milk",
  "comment": "mass concentration of tbph in breast milk",
  "hasProperty": "mass concentration",
  "hasObjectOfInterest": "tbph",
  "hasMatrix": "breast milk",
  "hasStatisticalModifier": "",
  "hasContextObject": "",
  "hasConstraint": []
 }</t>
  </si>
  <si>
    <t>Weight without clothes</t>
  </si>
  <si>
    <t>{
  "label": "Weight without clothes",
  "definition": "current weight in kilogram without clothes; in case of pregnancy: last weight before pregnancy",
  "comment": "patient; mass; condition: without clothes; time: current; conditional: if pregnant, last weight before pregnancy",
  "hasProperty": "mass",
  "hasPropertyURI": "https://www.wikidata.org/wiki/Q11423",
  "hasObjectOfInterest": "patient",
  "hasObjectOfInterestURI": "https://www.wikidata.org/wiki/Q181600",
  "hasConstraint": [
  {
  "label": "without clothes",
  "on": "patient"
  },
  {
  "label": "last unpregnant",
  "on": "mass"
  }
  ],
  "__path": "test_set/weight without clothes.json"
 }</t>
  </si>
  <si>
    <t>{
  "label": "Current Weight Without Clothes (Last Weight Before Pregnancy in Case of Pregnancy)",
  "definition": "current weight in kilogram without clothes; in case of pregnancy: last weight before pregnancy",
  "comment": "Weight measured in kilograms without clothing; for pregnant individuals, it's the weight before pregnancy.",
  "hasProperty": "weight",
  "hasObjectOfInterest": "person",
  "hasMatrix": "",
  "hasConstraint": [
  {
  "label": "without clothes",
  "on": "person"
  },
  {
  "label": "last weight before pregnancy",
  "on": "person"
  }
  ],
  "hasStatisticalModifier": "",
  "hasContextObject": ""
 }</t>
  </si>
  <si>
    <t>{
  "label": "Realistic releases of U236 from La Hague",
  "definition": "Realistic releases of U236 from La Hague (U236LH) in atoms kg-1",
  "comment": "origin: La Hague facility, condition: released, condition: realistic, soil, Uranium 236, atoms per mass",
  "hasProperty": "number density",
  "hasPropertyURI": "https://www.wikidata.org/wiki/Q176449",
  "hasObjectOfInterest": {
  "AsymmetricSystem": "bc_0_b36_b0",
  "hasSource": "Uranium 236",
  "hasTarget": "soil"
  },
  "hasConstraint": [
  {
  "label": "La Hague facility",
  "on": "bc_0_b36_b0"
  },
  {
  "label": "released",
  "on": "Uranium 236"
  }
  ],
  "__path": "test_set/U236LH.json"
 }</t>
  </si>
  <si>
    <t>{
  "label": "Realistic releases of U236 from La Hague (U236LH)",
  "definition": "Realistic releases of U236 from La Hague (U236LH) in atoms kg-1",
  "comment": "U236 releases from La Hague measured in atoms per kilogram",
  "hasProperty": "count per mass",
  "hasObjectOfInterest": "U236",
  "hasMatrix": "",
  "hasConstraint": [],
  "hasStatisticalModifier": "",
  "hasContextObject": ""
 }</t>
  </si>
  <si>
    <t>Weight specific-ingestion Carbon rate at 15 °C</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</si>
  <si>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at non-limiting conditions -&gt; condition: under non-limiting conditions, food, organism, dry; mass flow rate; at 15°C temperature",
  "hasProperty": "mass flow rate",
  "hasPropertyURI": "https://www.wikidata.org/wiki/Q3265048",
  "hasMatrix": {
  "AsymmetricSystem": "n85dc3dcd02a74448ab8fe59fbcb3c4e1b2",
  "hasSource": "food",
  "hasTarget": "organism"
  },
  "hasObjectOfInterest": {
  "AsymmetricSystem": "n85dc3dcd02a74448ab8fe59fbcb3c4e1b1",
  "hasSource": "Carbon",
  "hasTarget": "individual"
  },
  "hasConstraint": [
  {
  "label": "at 15°C temperature",
  "on": "mass flow rate"
  },
  {
  "label": "at non-limiting conditions",
  "on": "food"
  },
  {
  "label": "dry",
  "on": "individual"
  }
  ],
  "__path": "test_set/C19_CarbonRate.json"
 }</t>
  </si>
  <si>
    <t>{
  "label": "Weight specific-ingestion Carbon rate at 15 °C",
  "definition": "Weight specific-ingestion Carbon rate at 15 °C. The amount of carbon consumed by an organism at non-limiting concentration of food relative to the individual dry weight measured at 15°C. It is expressed as μg C mg DW−1 h−1",
  "comment": "Carbon consumption by an organism relative to dry weight at 15°C",
  "hasProperty": "mass flow rate",
  "hasObjectOfInterest": "carbon",
  "hasConstraint": [
  {
  "label": "individual dry weight",
  "on": "organism"
  },
  {
  "label": "15°C",
  "on": "organism"
  }
  ],
  "hasStatisticalModifier": "",
  "hasMatrix": "",
  "hasContextObject": ""
 }</t>
  </si>
  <si>
    <t>Radial velocity (away from) standard deviation over the coverage period of water current relative to instrument in the water body by high frequency radar</t>
  </si>
  <si>
    <t>{
  "label": "Radial velocity (away from) standard deviation over the coverage period of water current relative to instrument in the water body by high frequency radar",
  "definition": "Standard deviation of the component of water velocity in a water body along radial lines centered at the HFR antenna, evaluated over the coverage period",
  "comment": "water current; water body; at the sea surface; standard deviation; over the temporal coverage period; sea; velocity; relative to instrument; positive away from the instrument; radial",
  "hasProperty": "velocity",
  "hasPropertyURI": "https://www.wikidata.org/wiki/Q11465",
  "hasStatisticalModifier": "standard deviation",
  "hasStatisticalModifierURI": "https://www.wikidata.org/wiki/Q159375",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sea surface",
  "on": "water body"
  },
  {
  "label": "over the temporal coverage period",
  "on": "standard deviation"
  },
  {
  "label": "positive away from the instrument",
  "on": "velocity"
  },
  {
  "label": "radial",
  "on": "velocity"
  }
  ],
  "__path": "test_set/ETMP.json"
 }</t>
  </si>
  <si>
    <t>{
  "label": "Standard Deviation of Water Velocity Component in Water Body Along Radial Lines from HFR Antenna",
  "definition": "Standard deviation of the component of water velocity in a water body along radial lines centered at the HFR antenna, evaluated over the coverage period",
  "comment": "Standard deviation of water velocity component along radial lines from HFR antenna in a water body over the coverage period.",
  "hasProperty": "velocity component",
  "hasStatisticalModifier": "standard deviation",
  "hasObjectOfInterest": "water",
  "hasMatrix": "water body",
  "hasConstraint": [
  {
  "label": "coverage period",
  "on": "standard deviation"
  }
  ],
  "hasContextObject": ""
 }</t>
  </si>
  <si>
    <t>Level of highest education</t>
  </si>
  <si>
    <t>{
  "label": "Level of highest education",
  "definition": "level of highest education",
  "comment": "education; person; highest; level",
  "hasProperty": "level",
  "hasStatisticalModifier": "highest",
  "hasMatrix": "person",
  "hasMatrixURI": "https://www.wikidata.org/wiki/Q5",
  "hasObjectOfInterest": "education",
  "hasObjectOfInterestURI": "https://www.wikidata.org/wiki/Q8434",
  "__path": "test_set/highest education.json"
 }</t>
  </si>
  <si>
    <t>{
  "label": "level of highest education",
  "definition": "level of highest education",
  "comment": "highest level of education attained",
  "hasProperty": "level",
  "hasObjectOfInterest": "education",
  "hasMatrix": "",
  "hasStatisticalModifier": "highest",
  "hasContextObject": "",
  "hasConstraint": []
 }</t>
  </si>
  <si>
    <t>GDOP threshold quality flag</t>
  </si>
  <si>
    <t>{
  "label": "GDOP threshold quality flag ",
  "definition": "QC flags resulting from setting a threshold on GDOP. Setting a threshold on GDOP for total combination avoids the combination of radials with an intersection angle below a certain value.",
  "comment": "QC flags resulting from setting a threshold on GDOP. Setting a threshold on GDOP for total combination avoids the combination of radials with an intersection angle below a certain value.",
  "hasProperty": "quality flag",
  "hasObjectOfInterest": "GDOP",
  "hasConstraint": [
  {
  "label": "good if under the threshold value",
  "on": "quality flag"
  }
  ],
  "__path": "test_set/GDOP_QC.json"
 }</t>
  </si>
  <si>
    <t>{
  "label": "QC flags based on GDOP threshold",
  "definition": "QC flags resulting from setting a threshold on GDOP. Setting a threshold on GDOP for total combination avoids the combination of radials with an intersection angle below a certain value.",
  "comment": "QC flags from GDOP threshold to avoid low intersection angle radial combinations",
  "hasProperty": "GDOP",
  "hasObjectOfInterest": "total combination",
  "hasConstraint": [
  {
  "label": "threshold",
  "on": "GDOP"
  }
  ],
  "hasStatisticalModifier": "",
  "hasMatrix": "",
  "hasContextObject": ""
 }</t>
  </si>
  <si>
    <t>{
  "label": "UVAD Eastward velocity average in the water by a moored acoustic doppler current profile (ADCP)",
  "definition": "Eastward velocity average in the water by a moored acoustic doppler current profile measured in (m s-1)",
  "comment": "water current; water body; average value; sea; velocity; eastward; eulerian",
  "hasProperty": "velocity",
  "hasPropertyURI": "https://www.wikidata.org/wiki/Q11465",
  "hasStatisticalModifier": "average value",
  "hasStatisticalModifierURI": "https://www.wikidata.org/wiki/Q2796622",
  "hasMatrix": "water body",
  "hasMatrixURI": "https://www.wikidata.org/wiki/Q15324",
  "hasObjectOfInterest": "water current",
  "hasObjectOfInterestURI": "https://www.wikidata.org/wiki/Q5195029",
  "hasContextObject": "sea",
  "hasContextObjectURI": "https://www.wikidata.org/wiki/Q165",
  "hasConstraint": [
  {
  "label": "eastward",
  "on": "velocity"
  },
  {
  "label": "eulerian",
  "on": "velocity"
  }
  ],
  "__path": "test_set/UVAD.json"
 }</t>
  </si>
  <si>
    <t>{
  "label": "Eastward velocity average in the water by a moored acoustic doppler current profile",
  "definition": "Eastward velocity average in the water by a moored acoustic doppler current profile measured in (m s-1)",
  "comment": "Eastward water velocity average measured using a moored acoustic doppler current profiler.",
  "hasProperty": "velocity",
  "hasStatisticalModifier": "average",
  "hasObjectOfInterest": "water",
  "hasMatrix": "",
  "hasConstraint": [],
  "hasContextObject": ""
 }</t>
  </si>
  <si>
    <t>Number of Hours of family activity per week</t>
  </si>
  <si>
    <t>{
  "label": "Number of Hours of family activity per week",
  "definition": "Number of Hours of family activity per week",
  "comment": "hours; patient; condition: spent with family; mean; aggregation: weekly; number",
  "hasProperty": "number",
  "hasPropertyURI": "https://www.wikidata.org/wiki/Q11563",
  "hasStatisticalModifier": "mean",
  "hasStatisticalModifierURI": "https://www.wikidata.org/wiki/Q2796622",
  "hasMatrix": "person",
  "hasMatrixURI": "https://www.wikidata.org/wiki/Q5",
  "hasObjectOfInterest": "hours",
  "hasObjectOfInterestURI": "https://www.wikidata.org/wiki/Q25235",
  "hasConstraint": [
  {
  "label": "spent with family",
  "on": "hours"
  },
  {
  "label": "weekly",
  "on": "mean"
  }
  ],
  "__path": "test_set/family activity.json"
 }</t>
  </si>
  <si>
    <t>{
  "label": "Number of Hours of family activity per week",
  "definition": "Number of Hours of family activity per week",
  "comment": "Duration of family activity per week.",
  "hasProperty": "duration",
  "hasObjectOfInterest": "family activity",
  "hasConstraint": [
  {
  "label": "per week",
  "on": "duration"
  }
  ],
  "hasStatisticalModifier": "",
  "hasMatrix": "",
  "hasContextObject": ""
 }</t>
  </si>
  <si>
    <t>Date of birth of mother</t>
  </si>
  <si>
    <t>{
  "label": "Date of birth of mother",
  "definition": "date of birth of mother",
  "comment": "birth; person; calendar date; condition: mother of patient",
  "hasProperty": "calendar date",
  "hasPropertyURI": "https://www.wikidata.org/wiki/Q205892",
  "hasMatrix": "person",
  "hasMatrixURI": "https://www.wikidata.org/wiki/Q215627",
  "hasObjectOfInterest": "birth",
  "hasObjectOfInterestURI": "https://www.wikidata.org/wiki/Q14819852",
  "hasConstraint": [
  {
  "label": "mother of person",
  "on": "person"
  }
  ],
  "__path": "test_set/date of birth of mother.json"
 }</t>
  </si>
  <si>
    <t>{
  "label": "date of birth of mother",
  "definition": "date of birth of mother",
  "comment": "Date when the mother was born.",
  "hasProperty": "date of birth",
  "hasObjectOfInterest": "mother",
  "hasMatrix": "",
  "hasStatisticalModifier": "",
  "hasContextObject": "",
  "hasConstraint": []
 }</t>
  </si>
  <si>
    <t>solubility of naphthalene in water at room temperature</t>
  </si>
  <si>
    <t>{
  "label": "solubility of naphthalene in water at room temperature",
  "definition": "solubility measurement of napathalene in deionized water at room temperature by monitoring absorption at 279 nm, measured in mg/L",
  "comment": "napathalene; deionized; water; at room temperature; ADD: state:dissolved, quality: dionized",
  "hasProperty": "mass concentration",
  "hasPropertyURI": "https://www.wikidata.org/wiki/Q589446",
  "hasObjectOfInterest": {
  "AsymmetricSystem": "nd82f0e60920847488d6f0cdd53df9827b1",
  "hasSource": "naphthalene (C10H8)",
  "hasTarget": "water"
  },
  "hasConstraint": [
  {
  "label": "at room temperature",
  "on": "mass concentration"
  },
  {
  "label": "dissolved",
  "on": "naphthalene (C10H8)"
  },
  {
  "label": "dionized",
  "on": "water"
  }
  ],
  "__path": "test_set/SLVAR.json"
 }</t>
  </si>
  <si>
    <t>{
  "label": "Solubility of napathalene in deionized water at room temperature measured by absorption at 279 nm",
  "definition": "solubility measurement of napathalene in deionized water at room temperature by monitoring absorption at 279 nm, measured in mg/L",
  "comment": "Solubility of napathalene in deionized water at room temperature measured via absorption at 279 nm",
  "hasProperty": "solubility",
  "hasObjectOfInterest": "napathalene",
  "hasMatrix": "deionized water",
  "hasConstraint": [
  {
  "label": "room temperature",
  "on": "solubility"
  }
  ],
  "hasStatisticalModifier": "",
  "hasContextObject": ""
 }</t>
  </si>
  <si>
    <t>concentration of endosulfane sulfate in wet flesh of ostrea edulis</t>
  </si>
  <si>
    <t>{
  "label": "concentration of endosulfane sulfate in wet flesh of ostrea edulis",
  "definition": "Mass concentration of endosulfane sulfate in wet flesh of ostrea edulis, measured in μg/kg.",
  "comment": "Mass concentration; endosulfane sulfate; wet; flesh-&gt;body; ostrea edulis; ADD: ratio: mass per mass.",
  "hasProperty": "mass fraction",
  "hasPropertyURI": "https://www.wikidata.org/wiki/Q899138",
  "hasMatrix": "ostrea edulis",
  "hasMatrixURI": "https://www.wikidata.org/wiki/Q729678",
  "hasObjectOfInterest": {
  "AsymmetricSystem": "nb12c157dd6f249f29adc37f790bb78f7b1",
  "hasSource": "endosulfane sulfate",
  "hasTarget": "flesh"
  },
  "hasConstraint": [
  {
  "label": "wet",
  "on": "flesh"
  }
  ],
  "__path": "test_set/ConcEndosulfaneOstrea.json"
 }</t>
  </si>
  <si>
    <t>{
  "label": "Mass concentration of endosulfane sulfate in wet flesh of ostrea edulis",
  "definition": "Mass concentration of endosulfane sulfate in wet flesh of ostrea edulis, measured in μg/kg.",
  "comment": "Mass concentration of endosulfane sulfate in wet flesh of ostrea edulis",
  "hasProperty": "mass concentration",
  "hasObjectOfInterest": "endosulfane sulfate",
  "hasMatrix": "flesh of ostrea edulis",
  "hasConstraint": [
  {
  "label": "wet",
  "on": "flesh of ostrea edulis"
  }
  ],
  "hasStatisticalModifier": "",
  "hasContextObject": ""
 }</t>
  </si>
  <si>
    <t>Water sampling depth</t>
  </si>
  <si>
    <t>{
  "label": "Water sampling depth ",
  "definition": "Water sampling depth (the distance from the top/surface to the bottom) from which the water was sampled",
  "comment": "datum: distance from the surface to the bottom, water sampling, depth",
  "hasProperty": "depth",
  "hasPropertyURI": "https://www.wikidata.org/wiki/Q930412",
  "hasObjectOfInterest": "water sampling",
  "hasObjectOfInterestURI": "https://www.wikidata.org/wiki/Q30032096",
  "hasConstraint": [
  {
  "label": "distance from the surface to the bottom",
  "on": "depth"
  }
  ],
  "__path": "test_set/WaterSampDepth.json"
 }</t>
  </si>
  <si>
    <t>{
  "label": "Water sampling depth",
  "definition": "Water sampling depth (the distance from the top/surface to the bottom) from which the water was sampled",
  "comment": "distance from the top/surface to the bottom in water sampling",
  "hasProperty": "distance",
  "hasObjectOfInterest": "depth",
  "hasStatisticalModifier": "",
  "hasMatrix": "",
  "hasContextObject": "",
  "hasConstraint": []
 }</t>
  </si>
  <si>
    <t>Daily maximum hourly precipitation rate</t>
  </si>
  <si>
    <t>{
  "label": "Daily maximum hourly precipitation rate",
  "definition": "Daily maximum hourly precipitation rate, measured in kg m⁻² s⁻¹",
  "comment": "frequency: hourly, frequency: daily, ground, atmosphere, mass flux, maximum, vegetation-soil system, water, ADD: origin: precipitation",
  "hasProperty": "mass flux",
  "hasPropertyURI": "https://www.wikidata.org/wiki/Q3265048",
  "hasStatisticalModifier": "maximum",
  "hasStatisticalModifierURI": "https://www.wikidata.org/wiki/Q10578722",
  "hasMatrix": {
  "AsymmetricSystem": "vegetation-soil system",
  "hasSource": "atmosphere",
  "hasTarget": "ground"
  },
  "hasObjectOfInterest": "water",
  "hasObjectOfInterestURI": "https://www.wikidata.org/wiki/Q283",
  "hasConstraint": [
  {
  "label": "daily",
  "on": "maximum"
  },
  {
  "label": "hourly",
  "on": "maximum"
  },
  {
  "label": "precipitation",
  "on": "water"
  }
  ],
  "__path": "test_set/PrecRate.json"
 }</t>
  </si>
  <si>
    <t>{
  "label": "Daily maximum hourly precipitation rate",
  "definition": "Daily maximum hourly precipitation rate, measured in kg m⁻² s⁻¹",
  "comment": "daily, maximum, hourly, precipitation rate",
  "hasProperty": "mass flow rate",
  "hasStatisticalModifier": "maximum",
  "hasObjectOfInterest": "precipitation",
  "hasMatrix": "",
  "hasConstraint": [
  {
  "label": "daily",
  "on": "maximum"
  },
  {
  "label": "hourly",
  "on": "mass flow rate"
  }
  ],
  "hasContextObject": ""
 }</t>
  </si>
  <si>
    <t>Global fallout of U‑236 (U236GF)</t>
  </si>
  <si>
    <t>{
  "label": "Global fallout of U‑236 (U236GF)",
  "definition": "Global fallout of U‑236 (U236GF) in atoms kg-1",
  "comment": "location: global, condition: deposited, soil, Uranium‑236, atoms per mass",
  "hasProperty": "number density",
  "hasPropertyURI": "https://www.wikidata.org/wiki/Q176449",
  "hasObjectOfInterest": {
  "AsymmetricSystem": "n880912cfcbf1422098d93a27ad0eee68b1",
  "hasSource": "Uranium‑236",
  "hasTarget": "soil"
  },
  "hasConstraint": [
  {
  "label": "global",
  "on": "n880912cfcbf1422098d93a27ad0eee68b1"
  },
  {
  "label": "deposited",
  "on": "Uranium‑236"
  }
  ],
  "__path": "test_set/U236GF.json"
 }</t>
  </si>
  <si>
    <t>{
  "label": "Global fallout of U-236 (U236GF)",
  "definition": "Global fallout of U‑236 (U236GF) in atoms kg-1",
  "comment": "Fallout of uranium-236 measured in atoms per kilogram",
  "hasProperty": "concentration",
  "hasObjectOfInterest": "U-236",
  "hasStatisticalModifier": "",
  "hasMatrix": "",
  "hasContextObject": "",
  "hasConstraint": []
 }</t>
  </si>
  <si>
    <t>Solar energy production of building per month</t>
  </si>
  <si>
    <t>{
  "label": "Solar energy production of building per month",
  "definition": "Solar energy production of building in kWh",
  "comment": "origin: photovoltaik panel, temporal extent: month, energy, amount, building",
  "hasProperty": "energy",
  "hasPropertyURI": "https://www.wikidata.org/wiki/Q11379",
  "hasMatrix": "building",
  "hasMatrixURI": "https://www.wikidata.org/wiki/Q41176",
  "hasObjectOfInterest": "solar energy",
  "hasObjectOfInterestURI": "https://www.wikidata.org/wiki/Q40015",
  "hasConstraint": [
  {
  "label": "photovoltaik panel",
  "on": "solar energy"
  },
  {
  "label": "month",
  "on": "energy"
  },
  {
  "label": "solar",
  "on": "solar energy"
  }
  ],
  "__path": "test_set/SolarEnergy.json"
 }</t>
  </si>
  <si>
    <t>{
  "label": "Solar energy production of building in kWh",
  "definition": "Solar energy production of building in kWh",
  "comment": "Solar energy generated by a building, measured in kilowatt-hours.",
  "hasProperty": "energy",
  "hasObjectOfInterest": "solar energy",
  "hasConstraint": [
  {
  "label": "building",
  "on": "energy production"
  }
  ],
  "hasStatisticalModifier": "",
  "hasMatrix": "",
  "hasContextObject": ""
 }</t>
  </si>
  <si>
    <t>{
  "label": "Mass flux of carbon into soil from vegetation due to senescence",
  "definition": "Mass flux of carbon into soil from vegetation due to senescence, measured in kg m-2 s-1.",
  "comment": "Mass flux; carbon; soil; vegetation; due to senescence. From indicates the source, into indicates the target.",
  "hasProperty": "mass flux",
  "hasMatrix": {
  "AsymmetricSystem": "flow",
  "hasSource": "vegetation",
  "hasTarget": "soil"
  },
  "hasObjectOfInterest": "carbon",
  "hasObjectOfInterestURI": "https://www.wikidata.org/wiki/Q623",
  "hasConstraint": [
  {
  "label": "senescence",
  "on": "flow"
  }
  ],
  "__path": "test_set/C6_MassFlux.json"
 }</t>
  </si>
  <si>
    <t>{
  "label": "Mass flux of carbon into soil from vegetation due to senescence",
  "definition": "Mass flux of carbon into soil from vegetation due to senescence, measured in kg m-2 s-1.",
  "comment": "carbon; mass flux; from vegetation; into soil; due to senescence",
  "hasProperty": "mass flux",
  "hasObjectOfInterest": "carbon",
  "hasMatrix": {
  "AsymmetricSystem": "flow",
  "hasSource": "vegetation",
  "hasTarget": "soil"
  },
  "hasConstraint": [
  {
  "label": "senescence",
  "on": "mass flux"
  }
  ],
  "hasStatisticalModifier": "",
  "hasContextObject": ""
 }</t>
  </si>
  <si>
    <t>Northward velocity uncertainty of water current in the water body by high frequency radar</t>
  </si>
  <si>
    <t>{
  "label": "Northward velocity uncertainty of water current in the water body by high frequency radar",
  "definition": "Uncertainty of the northward component of water velocity in a water body.",
  "comment": "northward component of water velocity in a water body; confidence interval",
  "hasProperty": "confidence interval",
  "hasPropertyURI": "https://www.wikidata.org/wiki/Q208498",
  "hasObjectOfInterest": "NSCT - Northward velocity of water current in the water body by high frequency radar",
  "__path": "test_set/VACC.json"
 }</t>
  </si>
  <si>
    <t>{
  "label": "Uncertainty of Northward Component of Water Velocity in Water Body",
  "definition": "Uncertainty of the northward component of water velocity in a water body.",
  "comment": "northward; water velocity; uncertainty; water body",
  "hasProperty": "uncertainty",
  "hasObjectOfInterest": "water velocity",
  "hasMatrix": "water body",
  "hasConstraint": [
  {
  "label": "northward component",
  "on": "water velocity"
  }
  ],
  "hasStatisticalModifier": "",
  "hasContextObject": ""
 }</t>
  </si>
  <si>
    <t>Sulfate organic nitrate in aerosol particles</t>
  </si>
  <si>
    <t>{
  "label": "Sulfate organic nitrate in aerosol particles",
  "definition": "Number fraction of aerosol particles from 0.1 um to larger than 1 um that are identified as sulfate-organic-nitrate internal mixtures.",
  "comment": "Number fraction of aerosol particles from 0.1 um to larger than 1 um that are identified as sulfate-organic-nitrate internal mixtures.",
  "hasProperty": "ratio",
  "hasPropertyURI": "https://www.wikidata.org/wiki/Q3481047",
  "hasMatrix": "aerosol",
  "hasMatrixURI": "https://www.wikidata.org/wiki/Q104541",
  "hasObjectOfInterest": {
  "AsymmetricSystem": "nca25e8ec268341d28fe05371275c1d4db1",
  "hasSource": "particle",
  "hasTarget": "particle mixture"
  },
  "hasConstraint": [
  {
  "label": "mixture of sulfate-organic-nitrate",
  "on": "particle"
  },
  {
  "label": "total",
  "on": "particle mixture"
  },
  {
  "label": "0.1 µm to larger than 1 µm",
  "on": "particle"
  }
  ],
  "__path": "test_set/SulfateAerosol.json"
 }</t>
  </si>
  <si>
    <t>{
  "label": "Number fraction of aerosol particles from 0.1 um to larger than 1 um that are identified as sulfate-organic-nitrate internal mixtures",
  "definition": "Number fraction of aerosol particles from 0.1 um to larger than 1 um that are identified as sulfate-organic-nitrate internal mixtures.",
  "comment": "size range: 0.1-1 um, type: sulfate-organic-nitrate internal mixtures, fraction",
  "hasProperty": "number fraction",
  "hasObjectOfInterest": "aerosol particles",
  "hasConstraint": [
  {
  "label": "0.1 um to larger than 1 um",
  "on": "aerosol particles"
  },
  {
  "label": "sulfate-organic-nitrate internal mixtures",
  "on": "aerosol particles"
  }
  ],
  "hasStatisticalModifier": "",
  "hasMatrix": "",
  "hasContextObject": ""
 }</t>
  </si>
  <si>
    <t>Eastward velocity uncertainty of water currentcy radar</t>
  </si>
  <si>
    <t>{
  "label": "Eastward velocity uncertainty of water currentcy radar",
  "definition": "Uncertainty of the eastward component of water velocity in a water body",
  "comment": "eastward component of water velocity in a water body; confidence interval",
  "hasProperty": "confidence interval",
  "hasPropertyURI": "https://www.wikidata.org/wiki/Q208498",
  "hasObjectOfInterest": "eastward component of water velocity in a water body",
  "__path": "test_set/UACC.json"
 }</t>
  </si>
  <si>
    <t>{
  "label": "Uncertainty of Eastward Water Velocity Component",
  "definition": "Uncertainty of the eastward component of water velocity in a water body",
  "comment": "Uncertainty in the eastward direction of water velocity in a water body",
  "hasProperty": "uncertainty",
  "hasObjectOfInterest": "eastward component of water velocity",
  "hasMatrix": "water body",
  "hasStatisticalModifier": "",
  "hasContextObject": "",
  "hasConstraint": []
 }</t>
  </si>
  <si>
    <t>Number of children under the age of 10 years in a statistical unit</t>
  </si>
  <si>
    <t>{
  "label": "Number of children under the age of 10 years in a statistical unit",
  "definition": "number of children under the age of 10 years in a statistical unit which is defined as a grouping of homogeneous neighboring building blocks",
  "comment": "number; children; under the age of 10 years; statistical unit; defined by grouping of homogeneous neighboring building blocks",
  "hasProperty": "number",
  "hasPropertyURI": "https://www.wikidata.org/wiki/Q11563",
  "hasMatrix": "statistical unit",
  "hasMatrixURI": "https://www.wikidata.org/wiki/Q3409269",
  "hasObjectOfInterest": "child",
  "hasObjectOfInterestURI": "https://www.wikidata.org/wiki/Q7569",
  "hasConstraint": [
  {
  "label": "age under 10 years",
  "on": "child"
  },
  {
  "label": "grouping of homogeneous neighboring building blocks",
  "on": "statistical unit"
  }
  ],
  "__path": "test_set/NumChild.json"
 }</t>
  </si>
  <si>
    <t>{
  "label": "Number of children under the age of 10 years in a statistical unit",
  "definition": "number of children under the age of 10 years in a statistical unit which is defined as a grouping of homogeneous neighboring building blocks",
  "comment": "Count of children under 10 in a statistical unit composed of homogeneous building blocks",
  "hasProperty": "count",
  "hasObjectOfInterest": "children",
  "hasMatrix": "",
  "hasConstraint": [
  {
  "label": "under the age of 10 years",
  "on": "children"
  }
  ],
  "hasStatisticalModifier": "",
  "hasContextObject": ""
 }</t>
  </si>
  <si>
    <t>HCSS Radial velocity variance of water current relative to instrument in the water body by high frequency radar</t>
  </si>
  <si>
    <t>{
  "label": "HCSS Radial velocity variance of water current relative to instrument in the water body by high frequency radar",
  "definition": "Variance of the component of water velocity in a water body along radial lines centered at the HFR antenna, evaluated over the coverage period",
  "comment": "water current; water body; at the surface; variance; over the temporal coverage period; sea; velocity; relative to instrument; radial",
  "hasProperty": "velocity",
  "hasPropertyURI": "https://www.wikidata.org/wiki/Q11465",
  "hasStatisticalModifier": "variance",
  "hasStatisticalModifierURI": "https://www.wikidata.org/wiki/Q175199",
  "hasMatrix": "water body",
  "hasMatrixURI": "https://www.wikidata.org/wiki/Q15324",
  "hasObjectOfInterest": "water current",
  "hasObjectOfInterestURI": "https://www.wikidata.org/wiki/Q5195029",
  "hasContextObject": "sea",
  "hasContextObjectURI": "https://www.wikidata.org/wiki/Q165",
  "hasConstraint": [
  {
  "label": "relative to instrument",
  "on": "velocity"
  },
  {
  "label": "at the surface",
  "on": "water body"
  },
  {
  "label": "over the temporal coverage period",
  "on": "variance"
  },
  {
  "label": "radial",
  "on": "velocity"
  }
  ],
  "__path": "test_set/HCSS.json"
 }</t>
  </si>
  <si>
    <t>{
  "label": "Variance of the component of water velocity in a water body along radial lines centered at the HFR antenna, evaluated over the coverage period",
  "definition": "Variance of the component of water velocity in a water body along radial lines centered at the HFR antenna, evaluated over the coverage period",
  "comment": "variance of water velocity component in water body along HFR antenna radial lines, evaluated over coverage period",
  "hasProperty": "component of water velocity",
  "hasStatisticalModifier": "variance",
  "hasObjectOfInterest": "water",
  "hasMatrix": "water body",
  "hasConstraint": [
  {
  "label": "along radial lines centered at the HFR antenna",
  "on": "component of water velocity"
  },
  {
  "label": "evaluated over the coverage period",
  "on": "variance"
  }
  ],
  "hasContextObject": ""
 }</t>
  </si>
  <si>
    <t>Observation of Rhesusform in blood</t>
  </si>
  <si>
    <t>{
  "label": "Observation of Rhesusform in blood",
  "definition": "-Rhesusform in a blood sample",
  "comment": "blood; patient; rhesusform",
  "hasProperty": "rhesus formula",
  "hasMatrix": "person",
  "hasMatrixURI": "https://www.wikidata.org/wiki/Q5",
  "hasObjectOfInterest": "blood",
  "hasObjectOfInterestURI": "https://www.wikidata.org/wiki/Q7873",
  "__path": "test_set/Rhesusform.json"
 }</t>
  </si>
  <si>
    <t>{
  "label": "Rhesusform in a blood sample",
  "definition": "-Rhesusform in a blood sample",
  "comment": "Rhesus form in blood sample",
  "hasProperty": "form",
  "hasObjectOfInterest": "Rhesusform",
  "hasMatrix": "blood sample",
  "hasStatisticalModifier": "",
  "hasContextObject": "",
  "hasConstraint": []
 }</t>
  </si>
  <si>
    <t>Water turbidity of stagnant surface water</t>
  </si>
  <si>
    <t>{
  "label": "Water turbidity of stagnant surface water ",
  "definition": "Water turbidity of stagnant surface water",
  "comment": "state: stagnant, type: surface, turbidity, water body, water",
  "hasProperty": "turbidity",
  "hasPropertyURI": "https://www.wikidata.org/wiki/Q898574",
  "hasMatrix": "water body",
  "hasMatrixURI": "https://www.wikidata.org/wiki/Q15324",
  "hasObjectOfInterest": "water",
  "hasObjectOfInterestURI": "https://www.wikidata.org/wiki/Q283",
  "hasConstraint": [
  {
  "label": "stagnant",
  "on": "water body"
  },
  {
  "label": "surface",
  "on": "water"
  }
  ],
  "__path": "test_set/Turbidity.json"
 }</t>
  </si>
  <si>
    <t>{
  "label": "Water Turbidity of Stagnant Surface Water",
  "definition": "Water turbidity of stagnant surface water",
  "comment": "turbidity of stagnant surface water",
  "hasProperty": "turbidity",
  "hasObjectOfInterest": "water",
  "hasMatrix": "surface",
  "hasConstraint": [
  {
  "label": "stagnant",
  "on": "water"
  }
  ],
  "hasStatisticalModifier": "",
  "hasContextObject": ""
 }</t>
  </si>
  <si>
    <t>Surface long-wave (thermal) radiation downwards</t>
  </si>
  <si>
    <t>{
  "label": "Surface long-wave (thermal) radiation downwards",
  "definition": "Surface long-wave (thermal) radiation downwards measured in Wm-2",
  "comment": "Surface-&gt; location: at the surface; long-wave; radiation; downwards; measured in Wm-2-&gt; energy flux; ADD: study area; ground; atmosphere",
  "hasProperty": "energy flux",
  "hasPropertyURI": "https://www.wikidata.org/wiki/Q5377054",
  "hasMatrix": {
  "AsymmetricSystem": "nbed67b4e117d4fcdb5788b4a4221c963b1",
  "hasSource": "atmosphere",
  "hasTarget": "ground"
  },
  "hasObjectOfInterest": "radiation",
  "hasObjectOfInterestURI": "https://www.wikidata.org/wiki/Q18335",
  "hasConstraint": [
  {
  "label": "long-wave",
  "on": "radiation"
  },
  {
  "label": "downwards",
  "on": "radiation"
  },
  {
  "label": "at the surface",
  "on": "ground"
  }
  ],
  "__path": "test_set/RadDown.json"
 }</t>
  </si>
  <si>
    <t>{
  "label": "Surface long-wave (thermal) radiation downwards",
  "definition": "Surface long-wave (thermal) radiation downwards measured in Wm-2",
  "comment": "surface; long-wave (thermal) radiation; downwards; unit: Wm-2",
  "hasProperty": "radiation",
  "hasObjectOfInterest": "surface",
  "hasConstraint": [
  {
  "label": "long-wave (thermal)",
  "on": "radiation"
  },
  {
  "label": "downwards",
  "on": "radiation"
  }
  ],
  "hasStatisticalModifier": "",
  "hasMatrix": "",
  "hasContextObject": ""
 }</t>
  </si>
  <si>
    <t>{
  "label": "melting point of naphthalene under standard conditions",
  "definition": "thermodynamic temperature for the melting point (at the solid to liquid phase transition) of a known purity (99.12 (w/w) sample of naphthalene at atmospheric pressure",
  "comment": "thermodynamic temperature; at the solid to liquid phase transition; purity (99.12 (w/w); naphthalene; at atmospheric pressure",
  "hasProperty": "thermodynamic temperature",
  "hasPropertyURI": "https://www.wikidata.org/wiki/Q264647",
  "hasObjectOfInterest": "naphthalene (C10H8)",
  "hasObjectOfInterestURI": "https://www.wikidata.org/wiki/Q179724",
  "hasConstraint": [
  {
  "label": "at the solid to liquid phase transition",
  "on": "thermodynamic temperature"
  },
  {
  "label": "purity of 99.12 (w/w)",
  "on": "naphthalene (C10H8)"
  },
  {
  "label": "at 1 atm pressure",
  "on": "thermodynamic temperature"
  }
  ],
  "__path": "test_set/MPVAR.json"
 }</t>
  </si>
  <si>
    <t>{
  "label": "Thermodynamic Temperature at Melting Point of Naphthalene",
  "definition": "thermodynamic temperature for the melting point (at the solid to liquid phase transition) of a known purity (99.12 (w/w) sample of naphthalene at atmospheric pressure",
  "comment": "temperature at melting point; naphthalene; purity 99.12 (w/w); atmospheric pressure",
  "hasProperty": "temperature",
  "hasObjectOfInterest": "naphthalene",
  "hasConstraint": [
  {
  "label": "99.12 (w/w)",
  "on": "naphthalene"
  },
  {
  "label": "atmospheric pressure",
  "on": "melting point"
  }
  ],
  "hasStatisticalModifier": "",
  "hasMatrix": "",
  "hasContextObject": ""
 }</t>
  </si>
  <si>
    <t>Mean sea level pressure</t>
  </si>
  <si>
    <t>{
  "label": "Mean sea level pressure",
  "definition": "Mean sea level pressure expressed in Pa",
  "comment": "Mean sea level pressure expressed in Pa",
  "hasProperty": "pressure",
  "hasPropertyURI": "https://www.wikidata.org/wiki/Q39552",
  "hasObjectOfInterest": "air",
  "hasObjectOfInterestURI": "https://www.wikidata.org/wiki/Q7391292",
  "hasContextObject": "atmosphere",
  "hasContextObjectURI": "https://www.wikidata.org/wiki/Q8104",
  "hasConstraint": [
  {
  "label": "mean sea level",
  "on": "air"
  }
  ],
  "__path": "test_set/PMER.json"
 }</t>
  </si>
  <si>
    <t>{
  "label": "Mean sea level pressure",
  "definition": "Mean sea level pressure expressed in Pa",
  "comment": "mean; sea level; pressure",
  "hasProperty": "pressure",
  "hasObjectOfInterest": "",
  "hasConstraint": [
  {
  "label": "sea level",
  "on": "pressure"
  }
  ],
  "hasStatisticalModifier": "",
  "hasMatrix": "",
  "hasContextObject": ""
 }</t>
  </si>
  <si>
    <t>{
  "label": "pH measurement of a sample of apple juice",
  "definition": "pH of a sample of apple juice using a solid-state pH electrode",
  "comment": "pH; apple juice; ADD: hydronium ion activity",
  "hasProperty": "pH",
  "hasPropertyURI": "https://www.wikidata.org/wiki/Q40936",
  "hasObjectOfInterest": "apple juice",
  "hasObjectOfInterestURI": "https://www.wikidata.org/wiki/Q618355",
  "__path": "test_set/PHVAR.json"
 }</t>
  </si>
  <si>
    <t>{
  "label": "pH of a sample of apple juice using a solid-state pH electrode",
  "definition": "pH of a sample of apple juice using a solid-state pH electrode",
  "comment": "pH; sample; apple juice; solid-state pH electrode",
  "hasProperty": "pH",
  "hasObjectOfInterest": "sample",
  "hasMatrix": "apple juice",
  "hasStatisticalModifier": "",
  "hasContextObject": "",
  "hasConstraint": []
 }</t>
  </si>
  <si>
    <t>ground_truth</t>
  </si>
  <si>
    <t>predicted</t>
  </si>
  <si>
    <t>semantic evaluation</t>
  </si>
  <si>
    <t>0,50</t>
  </si>
  <si>
    <t>"energy flux"</t>
  </si>
  <si>
    <t>"flux"</t>
  </si>
  <si>
    <t>acceptable</t>
  </si>
  <si>
    <t>"mass concentration"</t>
  </si>
  <si>
    <t>"concentration"</t>
  </si>
  <si>
    <t>tbc</t>
  </si>
  <si>
    <t>"percentage"</t>
  </si>
  <si>
    <t>ok</t>
  </si>
  <si>
    <t>"blood type"</t>
  </si>
  <si>
    <t>"type"</t>
  </si>
  <si>
    <t>"acceleration"</t>
  </si>
  <si>
    <t>"angle"</t>
  </si>
  <si>
    <t>"index"</t>
  </si>
  <si>
    <t>"body mass index"</t>
  </si>
  <si>
    <t>"azimuth"</t>
  </si>
  <si>
    <t>"thermodynamic temperature"</t>
  </si>
  <si>
    <t>"distance"</t>
  </si>
  <si>
    <t>"probability of occurrence"</t>
  </si>
  <si>
    <t>"probability"</t>
  </si>
  <si>
    <t>"area"</t>
  </si>
  <si>
    <t>"size"</t>
  </si>
  <si>
    <t>"mass flow rate"</t>
  </si>
  <si>
    <t>"mass fraction"</t>
  </si>
  <si>
    <t>"mass"</t>
  </si>
  <si>
    <t>"sex"</t>
  </si>
  <si>
    <t>"biological sex"</t>
  </si>
  <si>
    <t>"number density"</t>
  </si>
  <si>
    <t>"density"</t>
  </si>
  <si>
    <t>"pressure"</t>
  </si>
  <si>
    <t>"smoking status"</t>
  </si>
  <si>
    <t>"status"</t>
  </si>
  <si>
    <t>"mass per cell"</t>
  </si>
  <si>
    <t>"number per entity"</t>
  </si>
  <si>
    <t>"number"</t>
  </si>
  <si>
    <t>"dynamic shear viscosity"</t>
  </si>
  <si>
    <t>"sheet resistance"</t>
  </si>
  <si>
    <t>"count"</t>
  </si>
  <si>
    <t>"frequency"</t>
  </si>
  <si>
    <t>"date"</t>
  </si>
  <si>
    <t>"area fraction"</t>
  </si>
  <si>
    <t>"coverage"</t>
  </si>
  <si>
    <t>"height"</t>
  </si>
  <si>
    <t>"optical thickness"</t>
  </si>
  <si>
    <t>"mass flux"</t>
  </si>
  <si>
    <t>"abundance"</t>
  </si>
  <si>
    <t>"energy"</t>
  </si>
  <si>
    <t>"energy released"</t>
  </si>
  <si>
    <t>"proportion"</t>
  </si>
  <si>
    <t>Circulation-Method-in-Tube</t>
  </si>
  <si>
    <t>"CirculationMethod"</t>
  </si>
  <si>
    <t>"method"</t>
  </si>
  <si>
    <t>"Circulation Mode"</t>
  </si>
  <si>
    <t>"circulation mode"</t>
  </si>
  <si>
    <t>"mass density"</t>
  </si>
  <si>
    <t>"plane angle"</t>
  </si>
  <si>
    <t>"direction"</t>
  </si>
  <si>
    <t>"mass ratio"</t>
  </si>
  <si>
    <t>"depolarization ratio"</t>
  </si>
  <si>
    <t>"ratio"</t>
  </si>
  <si>
    <t>"Velocity"</t>
  </si>
  <si>
    <t>"velocity component"</t>
  </si>
  <si>
    <t>"velocity"</t>
  </si>
  <si>
    <t>"risk index"</t>
  </si>
  <si>
    <t>"fraction"</t>
  </si>
  <si>
    <t>"dilution of precision"</t>
  </si>
  <si>
    <t>"geometric dilution of precision"</t>
  </si>
  <si>
    <t>"quality flag"</t>
  </si>
  <si>
    <t>"threshold"</t>
  </si>
  <si>
    <t>"solubility"</t>
  </si>
  <si>
    <t>no</t>
  </si>
  <si>
    <t>"time interval"</t>
  </si>
  <si>
    <t>"variability"</t>
  </si>
  <si>
    <t>"pH"</t>
  </si>
  <si>
    <t>"grade"</t>
  </si>
  <si>
    <t>"depth"</t>
  </si>
  <si>
    <t>"water depth"</t>
  </si>
  <si>
    <t>"volume flux"</t>
  </si>
  <si>
    <t>"volume flow rate"</t>
  </si>
  <si>
    <t>"mass flow"</t>
  </si>
  <si>
    <t>"radiation"</t>
  </si>
  <si>
    <t>"rhesus formula"</t>
  </si>
  <si>
    <t>"Rhesusform"</t>
  </si>
  <si>
    <t>"surface density"</t>
  </si>
  <si>
    <t>"state"</t>
  </si>
  <si>
    <t>"number fraction"</t>
  </si>
  <si>
    <t>"turbidity"</t>
  </si>
  <si>
    <t>"confidence interval"</t>
  </si>
  <si>
    <t>"uncertainty"</t>
  </si>
  <si>
    <t>"variance"</t>
  </si>
  <si>
    <t>"speed"</t>
  </si>
  <si>
    <t>"country"</t>
  </si>
  <si>
    <t>"country of birth"</t>
  </si>
  <si>
    <t>"calendar date"</t>
  </si>
  <si>
    <t>"date of birth"</t>
  </si>
  <si>
    <t>Refinement required</t>
  </si>
  <si>
    <t>Added matrix</t>
  </si>
  <si>
    <t>Added constraint</t>
  </si>
  <si>
    <t>Required omittance</t>
  </si>
  <si>
    <t>evaluation</t>
  </si>
  <si>
    <t>reason</t>
  </si>
  <si>
    <t>good</t>
  </si>
  <si>
    <t>weak</t>
  </si>
  <si>
    <t>wrong</t>
  </si>
  <si>
    <t>count</t>
  </si>
  <si>
    <t>imprecise property</t>
  </si>
  <si>
    <t>percentage</t>
  </si>
  <si>
    <t>missing matrix</t>
  </si>
  <si>
    <t>wrong position of constraint</t>
  </si>
  <si>
    <t>missing requirement</t>
  </si>
  <si>
    <t>unconstraint entity</t>
  </si>
  <si>
    <t>simple representation</t>
  </si>
  <si>
    <t>implicit knowledge</t>
  </si>
  <si>
    <t>Dose of applied nanomaterial internalised (particle number per cell)</t>
  </si>
  <si>
    <t>qualitative variable</t>
  </si>
  <si>
    <t>constrained constraint</t>
  </si>
  <si>
    <t>matrix vs constraint</t>
  </si>
  <si>
    <t>Count</t>
  </si>
  <si>
    <t>Percentage</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</si>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</sst>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1"/>
      <color theme="1"/>
      <name val="Calibri"/>
      <family val="2"/>
    </font>
    <font>
      <sz val="10"/>
      <color theme="1"/>
      <name val="Arial"/>
      <family val="2"/>
      <scheme val="minor"/>
    </font>
    <font>
      <u/>
      <sz val="11"/>
      <color rgb="FF0000FF"/>
      <name val="Calibri"/>
      <family val="2"/>
    </font>
    <font>
      <sz val="10"/>
      <color theme="1"/>
      <name val="Arial"/>
      <family val="2"/>
    </font>
    <font>
      <u/>
      <sz val="10"/>
      <color rgb="FF0000FF"/>
      <name val="Arial"/>
      <family val="2"/>
    </font>
    <font>
      <u/>
      <sz val="10"/>
      <color rgb="FF0000FF"/>
      <name val="Arial"/>
      <family val="2"/>
    </font>
    <font>
      <sz val="10"/>
      <color rgb="FF000000"/>
      <name val="Arial"/>
      <family val="2"/>
      <scheme val="minor"/>
    </font>
    <font>
      <u/>
      <sz val="10"/>
      <color rgb="FF0000FF"/>
      <name val="Arial"/>
      <family val="2"/>
    </font>
    <font>
      <b/>
      <sz val="11"/>
      <color theme="1"/>
      <name val="Calibri"/>
      <family val="2"/>
    </font>
    <font>
      <sz val="11"/>
      <color rgb="FF000000"/>
      <name val="Calibri"/>
      <family val="2"/>
    </font>
    <font>
      <b/>
      <sz val="10"/>
      <color theme="1"/>
      <name val="Arial"/>
      <family val="2"/>
    </font>
    <font>
      <u/>
      <sz val="10"/>
      <color rgb="FF1155CC"/>
      <name val="Arial"/>
      <family val="2"/>
    </font>
    <font>
      <b/>
      <sz val="10"/>
      <color rgb="FF000000"/>
      <name val="Arial"/>
      <family val="2"/>
      <scheme val="minor"/>
    </font>
  </fonts>
  <fills count="3">
    <fill>
      <patternFill patternType="none"/>
    </fill>
    <fill>
      <patternFill patternType="gray125"/>
    </fill>
    <fill>
      <patternFill patternType="solid">
        <fgColor rgb="FFFF9900"/>
        <bgColor rgb="FFFF9900"/>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1">
    <xf numFmtId="0" fontId="0" fillId="0" borderId="0" xfId="0"/>
    <xf numFmtId="0" fontId="1" fillId="0" borderId="0" xfId="0" applyFont="1"/>
    <xf numFmtId="0" fontId="2"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left" vertical="top"/>
    </xf>
    <xf numFmtId="0" fontId="8" fillId="0" borderId="0" xfId="0" applyFont="1" applyAlignment="1">
      <alignment wrapText="1"/>
    </xf>
    <xf numFmtId="0" fontId="7" fillId="0" borderId="0" xfId="0" applyFont="1" applyAlignment="1">
      <alignment horizontal="left"/>
    </xf>
    <xf numFmtId="0" fontId="4" fillId="0" borderId="0" xfId="0" applyFont="1" applyAlignment="1">
      <alignment wrapText="1"/>
    </xf>
    <xf numFmtId="0" fontId="9" fillId="0" borderId="1" xfId="0" applyFont="1" applyBorder="1" applyAlignment="1">
      <alignment horizontal="center" vertical="top"/>
    </xf>
    <xf numFmtId="0" fontId="10" fillId="0" borderId="0" xfId="0" applyFont="1"/>
    <xf numFmtId="0" fontId="10" fillId="0" borderId="0" xfId="0" applyFont="1" applyAlignment="1">
      <alignment horizontal="right"/>
    </xf>
    <xf numFmtId="0" fontId="10" fillId="0" borderId="1" xfId="0" applyFont="1" applyBorder="1" applyAlignment="1">
      <alignment horizontal="center"/>
    </xf>
    <xf numFmtId="0" fontId="2" fillId="0" borderId="0" xfId="0" applyFont="1" applyAlignment="1">
      <alignment horizontal="center"/>
    </xf>
    <xf numFmtId="2" fontId="2" fillId="0" borderId="0" xfId="0" applyNumberFormat="1" applyFont="1" applyAlignment="1">
      <alignment horizontal="center"/>
    </xf>
    <xf numFmtId="0" fontId="4" fillId="2" borderId="0" xfId="0" applyFont="1" applyFill="1"/>
    <xf numFmtId="0" fontId="2" fillId="2" borderId="0" xfId="0" applyFont="1" applyFill="1"/>
    <xf numFmtId="0" fontId="1" fillId="0" borderId="2" xfId="0" applyFont="1" applyBorder="1"/>
    <xf numFmtId="0" fontId="2" fillId="0" borderId="2" xfId="0" applyFont="1" applyBorder="1"/>
    <xf numFmtId="0" fontId="13" fillId="0" borderId="0" xfId="0" applyFont="1" applyAlignment="1">
      <alignment horizontal="center" vertical="center" wrapText="1"/>
    </xf>
    <xf numFmtId="0" fontId="13" fillId="0" borderId="0" xfId="0" applyFont="1" applyAlignment="1">
      <alignment horizontal="right" vertical="center" wrapText="1"/>
    </xf>
    <xf numFmtId="0" fontId="13" fillId="0" borderId="0" xfId="0" applyFont="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horizontal="center" vertical="center" wrapText="1"/>
    </xf>
    <xf numFmtId="0" fontId="7" fillId="0" borderId="3" xfId="0" applyFont="1" applyBorder="1" applyAlignment="1">
      <alignment horizontal="right" vertical="center" wrapText="1"/>
    </xf>
    <xf numFmtId="0" fontId="7" fillId="0" borderId="7" xfId="0" applyFont="1" applyBorder="1" applyAlignment="1">
      <alignment horizontal="right" vertical="center" wrapText="1"/>
    </xf>
    <xf numFmtId="0" fontId="7" fillId="0" borderId="8"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619125</xdr:colOff>
      <xdr:row>22</xdr:row>
      <xdr:rowOff>19050</xdr:rowOff>
    </xdr:from>
    <xdr:ext cx="6972300" cy="3533775"/>
    <xdr:pic>
      <xdr:nvPicPr>
        <xdr:cNvPr id="223423343" name="Chart1" title="Chart">
          <a:extLst>
            <a:ext uri="{FF2B5EF4-FFF2-40B4-BE49-F238E27FC236}">
              <a16:creationId xmlns:a16="http://schemas.microsoft.com/office/drawing/2014/main" id="{00000000-0008-0000-0100-00006F2B510D}"/>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1" cstate="print"/>
        <a:stretch>
          <a:fillRect/>
        </a:stretch>
      </xdr:blipFill>
      <xdr:spPr>
        <a:xfrm>
          <a:off x="2495550" y="4419600"/>
          <a:ext cx="6972300" cy="353377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github.com/mabablue/I-ADOPT-examples-playground/issues/102" TargetMode="External"/><Relationship Id="rId21" Type="http://schemas.openxmlformats.org/officeDocument/2006/relationships/hyperlink" Target="https://github.com/mabablue/I-ADOPT-examples-playground/issues/124" TargetMode="External"/><Relationship Id="rId42" Type="http://schemas.openxmlformats.org/officeDocument/2006/relationships/hyperlink" Target="https://github.com/mabablue/I-ADOPT-examples-playground/issues/50" TargetMode="External"/><Relationship Id="rId47" Type="http://schemas.openxmlformats.org/officeDocument/2006/relationships/hyperlink" Target="https://github.com/mabablue/I-ADOPT-examples-playground/issues/110" TargetMode="External"/><Relationship Id="rId63" Type="http://schemas.openxmlformats.org/officeDocument/2006/relationships/hyperlink" Target="https://github.com/mabablue/I-ADOPT-examples-playground/issues/38" TargetMode="External"/><Relationship Id="rId68" Type="http://schemas.openxmlformats.org/officeDocument/2006/relationships/hyperlink" Target="http://purl.obolibrary.org/obo/OBI_1110087" TargetMode="External"/><Relationship Id="rId84" Type="http://schemas.openxmlformats.org/officeDocument/2006/relationships/hyperlink" Target="https://github.com/mabablue/I-ADOPT-examples-playground/issues/32" TargetMode="External"/><Relationship Id="rId89" Type="http://schemas.openxmlformats.org/officeDocument/2006/relationships/hyperlink" Target="https://github.com/mabablue/I-ADOPT-examples-playground/issues/84" TargetMode="External"/><Relationship Id="rId16" Type="http://schemas.openxmlformats.org/officeDocument/2006/relationships/hyperlink" Target="https://github.com/mabablue/I-ADOPT-examples-playground/issues/119" TargetMode="External"/><Relationship Id="rId107" Type="http://schemas.openxmlformats.org/officeDocument/2006/relationships/vmlDrawing" Target="../drawings/vmlDrawing1.vml"/><Relationship Id="rId11" Type="http://schemas.openxmlformats.org/officeDocument/2006/relationships/hyperlink" Target="https://github.com/mabablue/I-ADOPT-examples-playground/issues/2" TargetMode="External"/><Relationship Id="rId32" Type="http://schemas.openxmlformats.org/officeDocument/2006/relationships/hyperlink" Target="https://github.com/mabablue/I-ADOPT-examples-playground/issues/31" TargetMode="External"/><Relationship Id="rId37" Type="http://schemas.openxmlformats.org/officeDocument/2006/relationships/hyperlink" Target="https://github.com/mabablue/I-ADOPT-examples-playground/issues/20" TargetMode="External"/><Relationship Id="rId53" Type="http://schemas.openxmlformats.org/officeDocument/2006/relationships/hyperlink" Target="https://www.wikidata.org/wiki/Q7377" TargetMode="External"/><Relationship Id="rId58" Type="http://schemas.openxmlformats.org/officeDocument/2006/relationships/hyperlink" Target="https://github.com/mabablue/I-ADOPT-examples-playground/issues/105" TargetMode="External"/><Relationship Id="rId74" Type="http://schemas.openxmlformats.org/officeDocument/2006/relationships/hyperlink" Target="https://github.com/mabablue/I-ADOPT-examples-playground/issues/87" TargetMode="External"/><Relationship Id="rId79" Type="http://schemas.openxmlformats.org/officeDocument/2006/relationships/hyperlink" Target="https://github.com/mabablue/I-ADOPT-examples-playground/issues/61" TargetMode="External"/><Relationship Id="rId102" Type="http://schemas.openxmlformats.org/officeDocument/2006/relationships/hyperlink" Target="https://github.com/mabablue/I-ADOPT-examples-playground/issues/77" TargetMode="External"/><Relationship Id="rId5" Type="http://schemas.openxmlformats.org/officeDocument/2006/relationships/hyperlink" Target="https://github.com/mabablue/I-ADOPT-examples-playground/issues/94" TargetMode="External"/><Relationship Id="rId90" Type="http://schemas.openxmlformats.org/officeDocument/2006/relationships/hyperlink" Target="https://github.com/mabablue/I-ADOPT-examples-playground/issues/136" TargetMode="External"/><Relationship Id="rId95" Type="http://schemas.openxmlformats.org/officeDocument/2006/relationships/hyperlink" Target="https://github.com/mabablue/I-ADOPT-examples-playground/issues/109" TargetMode="External"/><Relationship Id="rId22" Type="http://schemas.openxmlformats.org/officeDocument/2006/relationships/hyperlink" Target="https://github.com/mabablue/I-ADOPT-examples-playground/issues/113" TargetMode="External"/><Relationship Id="rId27" Type="http://schemas.openxmlformats.org/officeDocument/2006/relationships/hyperlink" Target="https://github.com/mabablue/I-ADOPT-examples-playground/issues/62" TargetMode="External"/><Relationship Id="rId43" Type="http://schemas.openxmlformats.org/officeDocument/2006/relationships/hyperlink" Target="https://github.com/mabablue/I-ADOPT-examples-playground/issues/44" TargetMode="External"/><Relationship Id="rId48" Type="http://schemas.openxmlformats.org/officeDocument/2006/relationships/hyperlink" Target="https://github.com/mabablue/I-ADOPT-examples-playground/issues/135" TargetMode="External"/><Relationship Id="rId64" Type="http://schemas.openxmlformats.org/officeDocument/2006/relationships/hyperlink" Target="https://github.com/mabablue/I-ADOPT-examples-playground/issues/91" TargetMode="External"/><Relationship Id="rId69" Type="http://schemas.openxmlformats.org/officeDocument/2006/relationships/hyperlink" Target="https://github.com/mabablue/I-ADOPT-examples-playground/issues/118" TargetMode="External"/><Relationship Id="rId80" Type="http://schemas.openxmlformats.org/officeDocument/2006/relationships/hyperlink" Target="https://github.com/mabablue/I-ADOPT-examples-playground/issues/63" TargetMode="External"/><Relationship Id="rId85" Type="http://schemas.openxmlformats.org/officeDocument/2006/relationships/hyperlink" Target="https://github.com/mabablue/I-ADOPT-examples-playground/issues/122" TargetMode="External"/><Relationship Id="rId12" Type="http://schemas.openxmlformats.org/officeDocument/2006/relationships/hyperlink" Target="https://github.com/mabablue/I-ADOPT-examples-playground/issues/9" TargetMode="External"/><Relationship Id="rId17" Type="http://schemas.openxmlformats.org/officeDocument/2006/relationships/hyperlink" Target="https://github.com/mabablue/I-ADOPT-examples-playground/issues/89" TargetMode="External"/><Relationship Id="rId33" Type="http://schemas.openxmlformats.org/officeDocument/2006/relationships/hyperlink" Target="https://github.com/mabablue/I-ADOPT-examples-playground/issues/37" TargetMode="External"/><Relationship Id="rId38" Type="http://schemas.openxmlformats.org/officeDocument/2006/relationships/hyperlink" Target="https://github.com/mabablue/I-ADOPT-examples-playground/issues/98" TargetMode="External"/><Relationship Id="rId59" Type="http://schemas.openxmlformats.org/officeDocument/2006/relationships/hyperlink" Target="https://github.com/mabablue/I-ADOPT-examples-playground/issues/115" TargetMode="External"/><Relationship Id="rId103" Type="http://schemas.openxmlformats.org/officeDocument/2006/relationships/hyperlink" Target="https://github.com/mabablue/I-ADOPT-examples-playground/issues/120" TargetMode="External"/><Relationship Id="rId108" Type="http://schemas.openxmlformats.org/officeDocument/2006/relationships/comments" Target="../comments1.xml"/><Relationship Id="rId20" Type="http://schemas.openxmlformats.org/officeDocument/2006/relationships/hyperlink" Target="https://github.com/mabablue/I-ADOPT-examples-playground/issues/28" TargetMode="External"/><Relationship Id="rId41" Type="http://schemas.openxmlformats.org/officeDocument/2006/relationships/hyperlink" Target="https://github.com/mabablue/I-ADOPT-examples-playground/issues/90" TargetMode="External"/><Relationship Id="rId54" Type="http://schemas.openxmlformats.org/officeDocument/2006/relationships/hyperlink" Target="https://github.com/mabablue/I-ADOPT-examples-playground/issues/12" TargetMode="External"/><Relationship Id="rId62" Type="http://schemas.openxmlformats.org/officeDocument/2006/relationships/hyperlink" Target="https://github.com/mabablue/I-ADOPT-examples-playground/issues/116" TargetMode="External"/><Relationship Id="rId70" Type="http://schemas.openxmlformats.org/officeDocument/2006/relationships/hyperlink" Target="https://github.com/mabablue/I-ADOPT-examples-playground/issues/34" TargetMode="External"/><Relationship Id="rId75" Type="http://schemas.openxmlformats.org/officeDocument/2006/relationships/hyperlink" Target="https://github.com/mabablue/I-ADOPT-examples-playground/issues/97" TargetMode="External"/><Relationship Id="rId83" Type="http://schemas.openxmlformats.org/officeDocument/2006/relationships/hyperlink" Target="https://github.com/mabablue/I-ADOPT-examples-playground/issues/134" TargetMode="External"/><Relationship Id="rId88" Type="http://schemas.openxmlformats.org/officeDocument/2006/relationships/hyperlink" Target="https://github.com/mabablue/I-ADOPT-examples-playground/issues/82" TargetMode="External"/><Relationship Id="rId91" Type="http://schemas.openxmlformats.org/officeDocument/2006/relationships/hyperlink" Target="https://github.com/mabablue/I-ADOPT-examples-playground/issues/22" TargetMode="External"/><Relationship Id="rId96" Type="http://schemas.openxmlformats.org/officeDocument/2006/relationships/hyperlink" Target="https://github.com/mabablue/I-ADOPT-examples-playground/issues/123" TargetMode="External"/><Relationship Id="rId1" Type="http://schemas.openxmlformats.org/officeDocument/2006/relationships/hyperlink" Target="https://github.com/mabablue/I-ADOPT-examples-playground/issues/8" TargetMode="External"/><Relationship Id="rId6" Type="http://schemas.openxmlformats.org/officeDocument/2006/relationships/hyperlink" Target="https://github.com/mabablue/I-ADOPT-examples-playground/issues/24" TargetMode="External"/><Relationship Id="rId15" Type="http://schemas.openxmlformats.org/officeDocument/2006/relationships/hyperlink" Target="https://github.com/mabablue/I-ADOPT-examples-playground/issues/26" TargetMode="External"/><Relationship Id="rId23" Type="http://schemas.openxmlformats.org/officeDocument/2006/relationships/hyperlink" Target="https://github.com/mabablue/I-ADOPT-examples-playground/issues/36" TargetMode="External"/><Relationship Id="rId28" Type="http://schemas.openxmlformats.org/officeDocument/2006/relationships/hyperlink" Target="https://github.com/mabablue/I-ADOPT-examples-playground/issues/19" TargetMode="External"/><Relationship Id="rId36" Type="http://schemas.openxmlformats.org/officeDocument/2006/relationships/hyperlink" Target="https://github.com/mabablue/I-ADOPT-examples-playground/issues/81" TargetMode="External"/><Relationship Id="rId49" Type="http://schemas.openxmlformats.org/officeDocument/2006/relationships/hyperlink" Target="https://github.com/mabablue/I-ADOPT-examples-playground/issues/100" TargetMode="External"/><Relationship Id="rId57" Type="http://schemas.openxmlformats.org/officeDocument/2006/relationships/hyperlink" Target="https://www.wikidata.org/wiki/Q11567121" TargetMode="External"/><Relationship Id="rId106" Type="http://schemas.openxmlformats.org/officeDocument/2006/relationships/hyperlink" Target="https://github.com/mabablue/I-ADOPT-examples-playground/issues/25" TargetMode="External"/><Relationship Id="rId10" Type="http://schemas.openxmlformats.org/officeDocument/2006/relationships/hyperlink" Target="https://github.com/mabablue/I-ADOPT-examples-playground/issues/108" TargetMode="External"/><Relationship Id="rId31" Type="http://schemas.openxmlformats.org/officeDocument/2006/relationships/hyperlink" Target="https://github.com/mabablue/I-ADOPT-examples-playground/issues/30" TargetMode="External"/><Relationship Id="rId44" Type="http://schemas.openxmlformats.org/officeDocument/2006/relationships/hyperlink" Target="https://github.com/mabablue/I-ADOPT-examples-playground/issues/130" TargetMode="External"/><Relationship Id="rId52" Type="http://schemas.openxmlformats.org/officeDocument/2006/relationships/hyperlink" Target="https://github.com/mabablue/I-ADOPT-examples-playground/issues/127" TargetMode="External"/><Relationship Id="rId60" Type="http://schemas.openxmlformats.org/officeDocument/2006/relationships/hyperlink" Target="https://github.com/mabablue/I-ADOPT-examples-playground/issues/79" TargetMode="External"/><Relationship Id="rId65" Type="http://schemas.openxmlformats.org/officeDocument/2006/relationships/hyperlink" Target="https://github.com/mabablue/I-ADOPT-examples-playground/issues/92" TargetMode="External"/><Relationship Id="rId73" Type="http://schemas.openxmlformats.org/officeDocument/2006/relationships/hyperlink" Target="https://github.com/mabablue/I-ADOPT-examples-playground/issues/96" TargetMode="External"/><Relationship Id="rId78" Type="http://schemas.openxmlformats.org/officeDocument/2006/relationships/hyperlink" Target="https://github.com/mabablue/I-ADOPT-examples-playground/issues/18" TargetMode="External"/><Relationship Id="rId81" Type="http://schemas.openxmlformats.org/officeDocument/2006/relationships/hyperlink" Target="https://github.com/mabablue/I-ADOPT-examples-playground/issues/67" TargetMode="External"/><Relationship Id="rId86" Type="http://schemas.openxmlformats.org/officeDocument/2006/relationships/hyperlink" Target="https://github.com/mabablue/I-ADOPT-examples-playground/issues/131" TargetMode="External"/><Relationship Id="rId94" Type="http://schemas.openxmlformats.org/officeDocument/2006/relationships/hyperlink" Target="https://github.com/mabablue/I-ADOPT-examples-playground/issues/101" TargetMode="External"/><Relationship Id="rId99" Type="http://schemas.openxmlformats.org/officeDocument/2006/relationships/hyperlink" Target="https://github.com/mabablue/I-ADOPT-examples-playground/issues/43" TargetMode="External"/><Relationship Id="rId101" Type="http://schemas.openxmlformats.org/officeDocument/2006/relationships/hyperlink" Target="https://github.com/mabablue/I-ADOPT-examples-playground/issues/66" TargetMode="External"/><Relationship Id="rId4" Type="http://schemas.openxmlformats.org/officeDocument/2006/relationships/hyperlink" Target="https://github.com/mabablue/I-ADOPT-examples-playground/issues/10" TargetMode="External"/><Relationship Id="rId9" Type="http://schemas.openxmlformats.org/officeDocument/2006/relationships/hyperlink" Target="https://github.com/mabablue/I-ADOPT-examples-playground/issues/78" TargetMode="External"/><Relationship Id="rId13" Type="http://schemas.openxmlformats.org/officeDocument/2006/relationships/hyperlink" Target="https://github.com/mabablue/I-ADOPT-examples-playground/issues/14" TargetMode="External"/><Relationship Id="rId18" Type="http://schemas.openxmlformats.org/officeDocument/2006/relationships/hyperlink" Target="https://github.com/mabablue/I-ADOPT-examples-playground/issues/33" TargetMode="External"/><Relationship Id="rId39" Type="http://schemas.openxmlformats.org/officeDocument/2006/relationships/hyperlink" Target="https://github.com/mabablue/I-ADOPT-examples-playground/issues/15" TargetMode="External"/><Relationship Id="rId34" Type="http://schemas.openxmlformats.org/officeDocument/2006/relationships/hyperlink" Target="https://github.com/mabablue/I-ADOPT-examples-playground/issues/42" TargetMode="External"/><Relationship Id="rId50" Type="http://schemas.openxmlformats.org/officeDocument/2006/relationships/hyperlink" Target="https://github.com/mabablue/I-ADOPT-examples-playground/issues/80" TargetMode="External"/><Relationship Id="rId55" Type="http://schemas.openxmlformats.org/officeDocument/2006/relationships/hyperlink" Target="https://github.com/mabablue/I-ADOPT-examples-playground/issues/126" TargetMode="External"/><Relationship Id="rId76" Type="http://schemas.openxmlformats.org/officeDocument/2006/relationships/hyperlink" Target="https://github.com/mabablue/I-ADOPT-examples-playground/issues/133" TargetMode="External"/><Relationship Id="rId97" Type="http://schemas.openxmlformats.org/officeDocument/2006/relationships/hyperlink" Target="https://github.com/mabablue/I-ADOPT-examples-playground/issues/128" TargetMode="External"/><Relationship Id="rId104" Type="http://schemas.openxmlformats.org/officeDocument/2006/relationships/hyperlink" Target="https://github.com/mabablue/I-ADOPT-examples-playground/issues/132" TargetMode="External"/><Relationship Id="rId7" Type="http://schemas.openxmlformats.org/officeDocument/2006/relationships/hyperlink" Target="https://github.com/mabablue/I-ADOPT-examples-playground/issues/27" TargetMode="External"/><Relationship Id="rId71" Type="http://schemas.openxmlformats.org/officeDocument/2006/relationships/hyperlink" Target="https://github.com/mabablue/I-ADOPT-examples-playground/issues/16" TargetMode="External"/><Relationship Id="rId92" Type="http://schemas.openxmlformats.org/officeDocument/2006/relationships/hyperlink" Target="https://github.com/mabablue/I-ADOPT-examples-playground/issues/1" TargetMode="External"/><Relationship Id="rId2" Type="http://schemas.openxmlformats.org/officeDocument/2006/relationships/hyperlink" Target="https://github.com/mabablue/I-ADOPT-examples-playground/issues/104" TargetMode="External"/><Relationship Id="rId29" Type="http://schemas.openxmlformats.org/officeDocument/2006/relationships/hyperlink" Target="https://github.com/mabablue/I-ADOPT-examples-playground/issues/23" TargetMode="External"/><Relationship Id="rId24" Type="http://schemas.openxmlformats.org/officeDocument/2006/relationships/hyperlink" Target="https://www.wikidata.org/wiki/Q830077" TargetMode="External"/><Relationship Id="rId40" Type="http://schemas.openxmlformats.org/officeDocument/2006/relationships/hyperlink" Target="https://github.com/mabablue/I-ADOPT-examples-playground/issues/21" TargetMode="External"/><Relationship Id="rId45" Type="http://schemas.openxmlformats.org/officeDocument/2006/relationships/hyperlink" Target="https://github.com/mabablue/I-ADOPT-examples-playground/issues/106" TargetMode="External"/><Relationship Id="rId66" Type="http://schemas.openxmlformats.org/officeDocument/2006/relationships/hyperlink" Target="https://github.com/mabablue/I-ADOPT-examples-playground/issues/93" TargetMode="External"/><Relationship Id="rId87" Type="http://schemas.openxmlformats.org/officeDocument/2006/relationships/hyperlink" Target="https://github.com/mabablue/I-ADOPT-examples-playground/issues/83" TargetMode="External"/><Relationship Id="rId61" Type="http://schemas.openxmlformats.org/officeDocument/2006/relationships/hyperlink" Target="https://github.com/mabablue/I-ADOPT-examples-playground/issues/35" TargetMode="External"/><Relationship Id="rId82" Type="http://schemas.openxmlformats.org/officeDocument/2006/relationships/hyperlink" Target="https://github.com/mabablue/I-ADOPT-examples-playground/issues/64" TargetMode="External"/><Relationship Id="rId19" Type="http://schemas.openxmlformats.org/officeDocument/2006/relationships/hyperlink" Target="https://github.com/mabablue/I-ADOPT-examples-playground/issues/112" TargetMode="External"/><Relationship Id="rId14" Type="http://schemas.openxmlformats.org/officeDocument/2006/relationships/hyperlink" Target="https://github.com/mabablue/I-ADOPT-examples-playground/issues/121" TargetMode="External"/><Relationship Id="rId30" Type="http://schemas.openxmlformats.org/officeDocument/2006/relationships/hyperlink" Target="https://github.com/mabablue/I-ADOPT-examples-playground/issues/29" TargetMode="External"/><Relationship Id="rId35" Type="http://schemas.openxmlformats.org/officeDocument/2006/relationships/hyperlink" Target="https://github.com/mabablue/I-ADOPT-examples-playground/issues/7" TargetMode="External"/><Relationship Id="rId56" Type="http://schemas.openxmlformats.org/officeDocument/2006/relationships/hyperlink" Target="https://github.com/mabablue/I-ADOPT-examples-playground/issues/13" TargetMode="External"/><Relationship Id="rId77" Type="http://schemas.openxmlformats.org/officeDocument/2006/relationships/hyperlink" Target="https://github.com/mabablue/I-ADOPT-examples-playground/issues/125" TargetMode="External"/><Relationship Id="rId100" Type="http://schemas.openxmlformats.org/officeDocument/2006/relationships/hyperlink" Target="https://github.com/mabablue/I-ADOPT-examples-playground/issues/103" TargetMode="External"/><Relationship Id="rId105" Type="http://schemas.openxmlformats.org/officeDocument/2006/relationships/hyperlink" Target="https://github.com/mabablue/I-ADOPT-examples-playground/issues/114" TargetMode="External"/><Relationship Id="rId8" Type="http://schemas.openxmlformats.org/officeDocument/2006/relationships/hyperlink" Target="https://github.com/mabablue/I-ADOPT-examples-playground/issues/107" TargetMode="External"/><Relationship Id="rId51" Type="http://schemas.openxmlformats.org/officeDocument/2006/relationships/hyperlink" Target="https://github.com/mabablue/I-ADOPT-examples-playground/issues/88" TargetMode="External"/><Relationship Id="rId72" Type="http://schemas.openxmlformats.org/officeDocument/2006/relationships/hyperlink" Target="https://github.com/mabablue/I-ADOPT-examples-playground/issues/129" TargetMode="External"/><Relationship Id="rId93" Type="http://schemas.openxmlformats.org/officeDocument/2006/relationships/hyperlink" Target="https://github.com/mabablue/I-ADOPT-examples-playground/issues/17" TargetMode="External"/><Relationship Id="rId98" Type="http://schemas.openxmlformats.org/officeDocument/2006/relationships/hyperlink" Target="https://github.com/mabablue/I-ADOPT-examples-playground/issues/95" TargetMode="External"/><Relationship Id="rId3" Type="http://schemas.openxmlformats.org/officeDocument/2006/relationships/hyperlink" Target="https://github.com/mabablue/I-ADOPT-examples-playground/issues/11" TargetMode="External"/><Relationship Id="rId25" Type="http://schemas.openxmlformats.org/officeDocument/2006/relationships/hyperlink" Target="https://github.com/mabablue/I-ADOPT-examples-playground/issues/85" TargetMode="External"/><Relationship Id="rId46" Type="http://schemas.openxmlformats.org/officeDocument/2006/relationships/hyperlink" Target="https://github.com/mabablue/I-ADOPT-examples-playground/issues/111" TargetMode="External"/><Relationship Id="rId67" Type="http://schemas.openxmlformats.org/officeDocument/2006/relationships/hyperlink" Target="https://github.com/mabablue/I-ADOPT-examples-playground/issues/117"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52"/>
  <sheetViews>
    <sheetView workbookViewId="0">
      <pane xSplit="5" ySplit="1" topLeftCell="F2" activePane="bottomRight" state="frozen"/>
      <selection pane="topRight" activeCell="F1" sqref="F1"/>
      <selection pane="bottomLeft" activeCell="A2" sqref="A2"/>
      <selection pane="bottomRight" activeCell="F2" sqref="F2"/>
    </sheetView>
  </sheetViews>
  <sheetFormatPr defaultColWidth="12.5703125" defaultRowHeight="15.75" customHeight="1" x14ac:dyDescent="0.2"/>
  <cols>
    <col min="1" max="2" width="18.7109375" customWidth="1"/>
    <col min="3" max="3" width="46.7109375" hidden="1" customWidth="1"/>
    <col min="4" max="4" width="40.85546875" customWidth="1"/>
    <col min="5" max="5" width="3.5703125" customWidth="1"/>
    <col min="6" max="6" width="22.85546875" customWidth="1"/>
    <col min="7" max="7" width="22.140625" customWidth="1"/>
    <col min="8" max="8" width="22.5703125" customWidth="1"/>
    <col min="9" max="9" width="21.7109375" customWidth="1"/>
    <col min="10" max="10" width="24.85546875" customWidth="1"/>
    <col min="11" max="11" width="22.42578125" customWidth="1"/>
    <col min="12" max="12" width="60.5703125" customWidth="1"/>
    <col min="13" max="13" width="49.28515625" customWidth="1"/>
    <col min="14" max="14" width="36.42578125" customWidth="1"/>
  </cols>
  <sheetData>
    <row r="1" spans="1:15" ht="18.75" customHeight="1" x14ac:dyDescent="0.25">
      <c r="A1" s="1" t="s">
        <v>0</v>
      </c>
      <c r="B1" s="1" t="s">
        <v>1</v>
      </c>
      <c r="C1" s="1"/>
      <c r="D1" s="1" t="s">
        <v>2</v>
      </c>
      <c r="E1" s="1" t="s">
        <v>3</v>
      </c>
      <c r="F1" s="1" t="s">
        <v>4</v>
      </c>
      <c r="G1" s="2" t="s">
        <v>5</v>
      </c>
      <c r="H1" s="2" t="s">
        <v>6</v>
      </c>
      <c r="I1" s="2" t="s">
        <v>7</v>
      </c>
      <c r="J1" s="2" t="s">
        <v>8</v>
      </c>
      <c r="K1" s="2" t="s">
        <v>9</v>
      </c>
      <c r="L1" s="2" t="s">
        <v>10</v>
      </c>
      <c r="M1" s="3" t="s">
        <v>11</v>
      </c>
      <c r="N1" s="3" t="s">
        <v>12</v>
      </c>
      <c r="O1" s="3" t="s">
        <v>13</v>
      </c>
    </row>
    <row r="2" spans="1:15" ht="18.75" customHeight="1" x14ac:dyDescent="0.25">
      <c r="A2" s="1" t="s">
        <v>14</v>
      </c>
      <c r="B2" s="1" t="s">
        <v>15</v>
      </c>
      <c r="C2" s="1"/>
      <c r="D2" s="1" t="s">
        <v>16</v>
      </c>
      <c r="E2" s="4">
        <v>8</v>
      </c>
      <c r="F2" s="1" t="s">
        <v>17</v>
      </c>
      <c r="G2" s="5" t="s">
        <v>18</v>
      </c>
      <c r="H2" s="5" t="s">
        <v>19</v>
      </c>
      <c r="I2" s="5" t="s">
        <v>20</v>
      </c>
      <c r="J2" s="5" t="s">
        <v>20</v>
      </c>
      <c r="K2" s="5" t="s">
        <v>19</v>
      </c>
      <c r="L2" s="2" t="s">
        <v>21</v>
      </c>
      <c r="M2" s="3" t="s">
        <v>22</v>
      </c>
      <c r="N2" s="3" t="s">
        <v>23</v>
      </c>
      <c r="O2" s="3" t="b">
        <v>1</v>
      </c>
    </row>
    <row r="3" spans="1:15" ht="18.75" customHeight="1" x14ac:dyDescent="0.25">
      <c r="A3" s="1" t="s">
        <v>24</v>
      </c>
      <c r="B3" s="3" t="s">
        <v>25</v>
      </c>
      <c r="C3" s="3"/>
      <c r="D3" s="3" t="s">
        <v>26</v>
      </c>
      <c r="E3" s="6">
        <v>104</v>
      </c>
      <c r="F3" s="1" t="s">
        <v>17</v>
      </c>
      <c r="G3" s="5" t="s">
        <v>19</v>
      </c>
      <c r="H3" s="5" t="s">
        <v>20</v>
      </c>
      <c r="I3" s="5" t="s">
        <v>20</v>
      </c>
      <c r="J3" s="5" t="s">
        <v>20</v>
      </c>
      <c r="K3" s="5" t="s">
        <v>20</v>
      </c>
      <c r="L3" s="2" t="s">
        <v>27</v>
      </c>
      <c r="N3" s="3" t="s">
        <v>28</v>
      </c>
      <c r="O3" s="3" t="b">
        <v>1</v>
      </c>
    </row>
    <row r="4" spans="1:15" ht="18.75" customHeight="1" x14ac:dyDescent="0.25">
      <c r="A4" s="1" t="s">
        <v>14</v>
      </c>
      <c r="B4" s="1" t="s">
        <v>15</v>
      </c>
      <c r="C4" s="1"/>
      <c r="D4" s="1" t="s">
        <v>29</v>
      </c>
      <c r="E4" s="4">
        <v>11</v>
      </c>
      <c r="F4" s="1" t="s">
        <v>17</v>
      </c>
      <c r="G4" s="5" t="s">
        <v>19</v>
      </c>
      <c r="H4" s="5" t="s">
        <v>19</v>
      </c>
      <c r="I4" s="5" t="s">
        <v>19</v>
      </c>
      <c r="J4" s="5" t="s">
        <v>18</v>
      </c>
      <c r="K4" s="5" t="s">
        <v>19</v>
      </c>
      <c r="L4" s="2" t="s">
        <v>30</v>
      </c>
      <c r="N4" s="3" t="s">
        <v>31</v>
      </c>
      <c r="O4" s="3" t="b">
        <v>1</v>
      </c>
    </row>
    <row r="5" spans="1:15" ht="18.75" customHeight="1" x14ac:dyDescent="0.25">
      <c r="A5" s="1" t="s">
        <v>14</v>
      </c>
      <c r="B5" s="1" t="s">
        <v>15</v>
      </c>
      <c r="C5" s="1"/>
      <c r="D5" s="1" t="s">
        <v>32</v>
      </c>
      <c r="E5" s="4">
        <v>10</v>
      </c>
      <c r="F5" s="1" t="s">
        <v>17</v>
      </c>
      <c r="G5" s="5" t="s">
        <v>19</v>
      </c>
      <c r="H5" s="5" t="s">
        <v>20</v>
      </c>
      <c r="I5" s="5" t="s">
        <v>19</v>
      </c>
      <c r="J5" s="5" t="s">
        <v>20</v>
      </c>
      <c r="K5" s="5" t="s">
        <v>19</v>
      </c>
      <c r="L5" s="2" t="s">
        <v>33</v>
      </c>
      <c r="N5" s="3" t="s">
        <v>34</v>
      </c>
      <c r="O5" s="3" t="b">
        <v>1</v>
      </c>
    </row>
    <row r="6" spans="1:15" ht="18.75" customHeight="1" x14ac:dyDescent="0.25">
      <c r="A6" s="1" t="s">
        <v>35</v>
      </c>
      <c r="B6" s="3" t="s">
        <v>36</v>
      </c>
      <c r="C6" s="3"/>
      <c r="D6" s="3" t="s">
        <v>37</v>
      </c>
      <c r="E6" s="6">
        <v>94</v>
      </c>
      <c r="F6" s="1" t="s">
        <v>38</v>
      </c>
      <c r="G6" s="5" t="s">
        <v>19</v>
      </c>
      <c r="H6" s="5" t="s">
        <v>20</v>
      </c>
      <c r="I6" s="5" t="s">
        <v>20</v>
      </c>
      <c r="J6" s="5" t="s">
        <v>19</v>
      </c>
      <c r="K6" s="5" t="s">
        <v>19</v>
      </c>
      <c r="L6" s="2"/>
      <c r="M6" s="3" t="s">
        <v>39</v>
      </c>
      <c r="N6" s="3" t="s">
        <v>40</v>
      </c>
      <c r="O6" s="3" t="b">
        <v>1</v>
      </c>
    </row>
    <row r="7" spans="1:15" ht="18.75" customHeight="1" x14ac:dyDescent="0.25">
      <c r="A7" s="1" t="s">
        <v>35</v>
      </c>
      <c r="B7" s="1" t="s">
        <v>36</v>
      </c>
      <c r="C7" s="1"/>
      <c r="D7" s="1" t="s">
        <v>41</v>
      </c>
      <c r="E7" s="4">
        <v>24</v>
      </c>
      <c r="F7" s="1" t="s">
        <v>42</v>
      </c>
      <c r="G7" s="5" t="s">
        <v>20</v>
      </c>
      <c r="H7" s="5" t="s">
        <v>20</v>
      </c>
      <c r="I7" s="5" t="s">
        <v>20</v>
      </c>
      <c r="J7" s="5" t="s">
        <v>20</v>
      </c>
      <c r="K7" s="5" t="s">
        <v>20</v>
      </c>
      <c r="L7" s="2"/>
      <c r="O7" s="3" t="b">
        <v>1</v>
      </c>
    </row>
    <row r="8" spans="1:15" ht="18.75" customHeight="1" x14ac:dyDescent="0.25">
      <c r="A8" s="1" t="s">
        <v>43</v>
      </c>
      <c r="B8" s="1" t="s">
        <v>44</v>
      </c>
      <c r="C8" s="1"/>
      <c r="D8" s="1" t="s">
        <v>45</v>
      </c>
      <c r="E8" s="4">
        <v>27</v>
      </c>
      <c r="F8" s="1" t="s">
        <v>42</v>
      </c>
      <c r="G8" s="5" t="s">
        <v>19</v>
      </c>
      <c r="H8" s="5" t="s">
        <v>19</v>
      </c>
      <c r="I8" s="5" t="s">
        <v>19</v>
      </c>
      <c r="J8" s="5" t="s">
        <v>46</v>
      </c>
      <c r="K8" s="5" t="s">
        <v>20</v>
      </c>
      <c r="L8" s="2" t="s">
        <v>47</v>
      </c>
      <c r="N8" s="3" t="s">
        <v>48</v>
      </c>
      <c r="O8" s="3" t="b">
        <v>1</v>
      </c>
    </row>
    <row r="9" spans="1:15" ht="18.75" customHeight="1" x14ac:dyDescent="0.25">
      <c r="A9" s="1" t="s">
        <v>43</v>
      </c>
      <c r="B9" s="3" t="s">
        <v>44</v>
      </c>
      <c r="C9" s="3"/>
      <c r="D9" s="3" t="s">
        <v>49</v>
      </c>
      <c r="E9" s="6">
        <v>107</v>
      </c>
      <c r="F9" s="1" t="s">
        <v>42</v>
      </c>
      <c r="G9" s="5" t="s">
        <v>20</v>
      </c>
      <c r="H9" s="5" t="s">
        <v>20</v>
      </c>
      <c r="I9" s="5" t="s">
        <v>20</v>
      </c>
      <c r="J9" s="5" t="s">
        <v>46</v>
      </c>
      <c r="K9" s="5" t="s">
        <v>46</v>
      </c>
      <c r="L9" s="2"/>
      <c r="N9" s="3" t="s">
        <v>50</v>
      </c>
      <c r="O9" s="3" t="b">
        <v>1</v>
      </c>
    </row>
    <row r="10" spans="1:15" ht="18.75" customHeight="1" x14ac:dyDescent="0.25">
      <c r="A10" s="1" t="s">
        <v>14</v>
      </c>
      <c r="B10" s="5" t="s">
        <v>51</v>
      </c>
      <c r="C10" s="5"/>
      <c r="D10" s="5" t="s">
        <v>52</v>
      </c>
      <c r="E10" s="7">
        <v>78</v>
      </c>
      <c r="F10" s="1" t="s">
        <v>53</v>
      </c>
      <c r="G10" s="3" t="s">
        <v>20</v>
      </c>
      <c r="H10" s="3" t="s">
        <v>20</v>
      </c>
      <c r="I10" s="3" t="s">
        <v>20</v>
      </c>
      <c r="J10" s="3" t="s">
        <v>20</v>
      </c>
      <c r="K10" s="3" t="s">
        <v>20</v>
      </c>
      <c r="L10" s="2"/>
      <c r="O10" s="3" t="b">
        <v>0</v>
      </c>
    </row>
    <row r="11" spans="1:15" ht="18.75" customHeight="1" x14ac:dyDescent="0.25">
      <c r="A11" s="1" t="s">
        <v>43</v>
      </c>
      <c r="B11" s="3" t="s">
        <v>44</v>
      </c>
      <c r="C11" s="3"/>
      <c r="D11" s="3" t="s">
        <v>54</v>
      </c>
      <c r="E11" s="6">
        <v>108</v>
      </c>
      <c r="F11" s="1" t="s">
        <v>42</v>
      </c>
      <c r="G11" s="5" t="s">
        <v>19</v>
      </c>
      <c r="H11" s="5" t="s">
        <v>19</v>
      </c>
      <c r="I11" s="5" t="s">
        <v>20</v>
      </c>
      <c r="J11" s="5" t="s">
        <v>46</v>
      </c>
      <c r="K11" s="5" t="s">
        <v>46</v>
      </c>
      <c r="L11" s="2" t="s">
        <v>55</v>
      </c>
      <c r="N11" s="3" t="s">
        <v>56</v>
      </c>
      <c r="O11" s="3" t="b">
        <v>1</v>
      </c>
    </row>
    <row r="12" spans="1:15" ht="18.75" customHeight="1" x14ac:dyDescent="0.25">
      <c r="A12" s="1" t="s">
        <v>24</v>
      </c>
      <c r="B12" s="1" t="s">
        <v>57</v>
      </c>
      <c r="C12" s="1"/>
      <c r="D12" s="1" t="s">
        <v>58</v>
      </c>
      <c r="E12" s="7">
        <v>2</v>
      </c>
      <c r="F12" s="1" t="s">
        <v>59</v>
      </c>
      <c r="G12" s="3" t="s">
        <v>19</v>
      </c>
      <c r="H12" s="3" t="s">
        <v>20</v>
      </c>
      <c r="I12" s="3" t="s">
        <v>20</v>
      </c>
      <c r="J12" s="3" t="s">
        <v>20</v>
      </c>
      <c r="K12" s="3" t="s">
        <v>19</v>
      </c>
      <c r="L12" s="2"/>
      <c r="M12" s="3" t="s">
        <v>60</v>
      </c>
      <c r="O12" s="3" t="b">
        <v>1</v>
      </c>
    </row>
    <row r="13" spans="1:15" ht="18.75" customHeight="1" x14ac:dyDescent="0.25">
      <c r="A13" s="1" t="s">
        <v>14</v>
      </c>
      <c r="B13" s="1" t="s">
        <v>15</v>
      </c>
      <c r="C13" s="1"/>
      <c r="D13" s="1" t="s">
        <v>61</v>
      </c>
      <c r="E13" s="4">
        <v>9</v>
      </c>
      <c r="F13" s="1" t="s">
        <v>17</v>
      </c>
      <c r="G13" s="5" t="s">
        <v>18</v>
      </c>
      <c r="H13" s="5" t="s">
        <v>19</v>
      </c>
      <c r="I13" s="5" t="s">
        <v>19</v>
      </c>
      <c r="J13" s="5" t="s">
        <v>20</v>
      </c>
      <c r="K13" s="5" t="s">
        <v>19</v>
      </c>
      <c r="L13" s="2" t="s">
        <v>62</v>
      </c>
      <c r="M13" s="3" t="s">
        <v>63</v>
      </c>
      <c r="N13" s="3" t="s">
        <v>64</v>
      </c>
      <c r="O13" s="3" t="b">
        <v>1</v>
      </c>
    </row>
    <row r="14" spans="1:15" ht="18.75" customHeight="1" x14ac:dyDescent="0.25">
      <c r="A14" s="1" t="s">
        <v>65</v>
      </c>
      <c r="B14" s="1" t="s">
        <v>66</v>
      </c>
      <c r="C14" s="1"/>
      <c r="D14" s="1" t="s">
        <v>67</v>
      </c>
      <c r="E14" s="4">
        <v>14</v>
      </c>
      <c r="F14" s="1" t="s">
        <v>68</v>
      </c>
      <c r="G14" s="3" t="s">
        <v>20</v>
      </c>
      <c r="H14" s="3" t="s">
        <v>19</v>
      </c>
      <c r="I14" s="3" t="s">
        <v>20</v>
      </c>
      <c r="J14" s="3" t="s">
        <v>20</v>
      </c>
      <c r="K14" s="3" t="s">
        <v>19</v>
      </c>
      <c r="L14" s="2"/>
      <c r="M14" s="3" t="s">
        <v>69</v>
      </c>
      <c r="N14" s="3" t="s">
        <v>70</v>
      </c>
      <c r="O14" s="3" t="b">
        <v>0</v>
      </c>
    </row>
    <row r="15" spans="1:15" ht="18.75" customHeight="1" x14ac:dyDescent="0.25">
      <c r="A15" s="1" t="s">
        <v>65</v>
      </c>
      <c r="B15" s="3" t="s">
        <v>71</v>
      </c>
      <c r="C15" s="3"/>
      <c r="D15" s="3" t="s">
        <v>72</v>
      </c>
      <c r="E15" s="6">
        <v>121</v>
      </c>
      <c r="F15" s="3" t="s">
        <v>73</v>
      </c>
      <c r="G15" s="3" t="s">
        <v>20</v>
      </c>
      <c r="H15" s="3" t="s">
        <v>20</v>
      </c>
      <c r="I15" s="3" t="s">
        <v>20</v>
      </c>
      <c r="J15" s="3" t="s">
        <v>20</v>
      </c>
      <c r="K15" s="3" t="s">
        <v>20</v>
      </c>
      <c r="L15" s="2"/>
      <c r="O15" s="3" t="b">
        <v>0</v>
      </c>
    </row>
    <row r="16" spans="1:15" ht="18.75" customHeight="1" x14ac:dyDescent="0.25">
      <c r="A16" s="1" t="s">
        <v>65</v>
      </c>
      <c r="B16" s="3" t="s">
        <v>71</v>
      </c>
      <c r="C16" s="1"/>
      <c r="D16" s="1" t="s">
        <v>74</v>
      </c>
      <c r="E16" s="4">
        <v>26</v>
      </c>
      <c r="F16" s="1" t="s">
        <v>68</v>
      </c>
      <c r="G16" s="3" t="s">
        <v>20</v>
      </c>
      <c r="H16" s="3" t="s">
        <v>20</v>
      </c>
      <c r="I16" s="3" t="s">
        <v>20</v>
      </c>
      <c r="J16" s="3" t="s">
        <v>20</v>
      </c>
      <c r="K16" s="3" t="s">
        <v>20</v>
      </c>
      <c r="L16" s="2"/>
      <c r="O16" s="3" t="b">
        <v>0</v>
      </c>
    </row>
    <row r="17" spans="1:15" ht="18.75" customHeight="1" x14ac:dyDescent="0.25">
      <c r="A17" s="1" t="s">
        <v>65</v>
      </c>
      <c r="B17" s="3" t="s">
        <v>71</v>
      </c>
      <c r="C17" s="3"/>
      <c r="D17" s="3" t="s">
        <v>75</v>
      </c>
      <c r="E17" s="6">
        <v>119</v>
      </c>
      <c r="F17" s="3" t="s">
        <v>73</v>
      </c>
      <c r="G17" s="3" t="s">
        <v>20</v>
      </c>
      <c r="H17" s="3" t="s">
        <v>20</v>
      </c>
      <c r="I17" s="3" t="s">
        <v>20</v>
      </c>
      <c r="J17" s="3" t="s">
        <v>20</v>
      </c>
      <c r="K17" s="3" t="s">
        <v>20</v>
      </c>
      <c r="L17" s="2"/>
      <c r="O17" s="3" t="b">
        <v>0</v>
      </c>
    </row>
    <row r="18" spans="1:15" ht="18.75" customHeight="1" x14ac:dyDescent="0.25">
      <c r="A18" s="1" t="s">
        <v>65</v>
      </c>
      <c r="B18" s="3" t="s">
        <v>71</v>
      </c>
      <c r="C18" s="1"/>
      <c r="D18" s="1" t="s">
        <v>76</v>
      </c>
      <c r="E18" s="4">
        <v>89</v>
      </c>
      <c r="F18" s="1" t="s">
        <v>68</v>
      </c>
      <c r="G18" s="3" t="s">
        <v>46</v>
      </c>
      <c r="H18" s="3" t="s">
        <v>20</v>
      </c>
      <c r="I18" s="3" t="s">
        <v>20</v>
      </c>
      <c r="J18" s="3" t="s">
        <v>20</v>
      </c>
      <c r="K18" s="3" t="s">
        <v>20</v>
      </c>
      <c r="L18" s="2"/>
      <c r="M18" s="3" t="s">
        <v>77</v>
      </c>
      <c r="N18" s="3" t="s">
        <v>78</v>
      </c>
      <c r="O18" s="3" t="b">
        <v>0</v>
      </c>
    </row>
    <row r="19" spans="1:15" ht="18.75" customHeight="1" x14ac:dyDescent="0.25">
      <c r="A19" s="1" t="s">
        <v>65</v>
      </c>
      <c r="B19" s="3" t="s">
        <v>71</v>
      </c>
      <c r="C19" s="1"/>
      <c r="D19" s="1" t="s">
        <v>79</v>
      </c>
      <c r="E19" s="4">
        <v>33</v>
      </c>
      <c r="F19" s="1" t="s">
        <v>53</v>
      </c>
      <c r="G19" s="3" t="s">
        <v>20</v>
      </c>
      <c r="H19" s="3" t="s">
        <v>20</v>
      </c>
      <c r="I19" s="3" t="s">
        <v>20</v>
      </c>
      <c r="J19" s="3" t="s">
        <v>19</v>
      </c>
      <c r="K19" s="3" t="s">
        <v>20</v>
      </c>
      <c r="L19" s="2" t="s">
        <v>80</v>
      </c>
      <c r="O19" s="3" t="b">
        <v>0</v>
      </c>
    </row>
    <row r="20" spans="1:15" ht="18.75" customHeight="1" x14ac:dyDescent="0.25">
      <c r="A20" s="1" t="s">
        <v>35</v>
      </c>
      <c r="B20" s="3" t="s">
        <v>36</v>
      </c>
      <c r="C20" s="3"/>
      <c r="D20" s="3" t="s">
        <v>81</v>
      </c>
      <c r="E20" s="6">
        <v>112</v>
      </c>
      <c r="F20" s="1" t="s">
        <v>42</v>
      </c>
      <c r="G20" s="5" t="s">
        <v>20</v>
      </c>
      <c r="H20" s="5" t="s">
        <v>20</v>
      </c>
      <c r="I20" s="5" t="s">
        <v>20</v>
      </c>
      <c r="J20" s="5" t="s">
        <v>20</v>
      </c>
      <c r="K20" s="5" t="s">
        <v>20</v>
      </c>
      <c r="L20" s="2"/>
      <c r="O20" s="3" t="b">
        <v>1</v>
      </c>
    </row>
    <row r="21" spans="1:15" ht="18.75" customHeight="1" x14ac:dyDescent="0.25">
      <c r="A21" s="1" t="s">
        <v>43</v>
      </c>
      <c r="B21" s="1" t="s">
        <v>44</v>
      </c>
      <c r="C21" s="1"/>
      <c r="D21" s="1" t="s">
        <v>82</v>
      </c>
      <c r="E21" s="4">
        <v>28</v>
      </c>
      <c r="F21" s="1" t="s">
        <v>42</v>
      </c>
      <c r="G21" s="5" t="s">
        <v>19</v>
      </c>
      <c r="H21" s="5" t="s">
        <v>19</v>
      </c>
      <c r="I21" s="5" t="s">
        <v>19</v>
      </c>
      <c r="J21" s="5" t="s">
        <v>46</v>
      </c>
      <c r="K21" s="5" t="s">
        <v>19</v>
      </c>
      <c r="L21" s="2" t="s">
        <v>83</v>
      </c>
      <c r="N21" s="3" t="s">
        <v>56</v>
      </c>
      <c r="O21" s="3" t="b">
        <v>1</v>
      </c>
    </row>
    <row r="22" spans="1:15" ht="18.75" customHeight="1" x14ac:dyDescent="0.25">
      <c r="A22" s="1" t="s">
        <v>14</v>
      </c>
      <c r="B22" s="8" t="s">
        <v>15</v>
      </c>
      <c r="C22" s="3"/>
      <c r="D22" s="3" t="s">
        <v>84</v>
      </c>
      <c r="E22" s="6">
        <v>124</v>
      </c>
      <c r="F22" s="3" t="s">
        <v>73</v>
      </c>
      <c r="G22" s="3" t="s">
        <v>19</v>
      </c>
      <c r="H22" s="3" t="s">
        <v>20</v>
      </c>
      <c r="I22" s="3" t="s">
        <v>20</v>
      </c>
      <c r="J22" s="3" t="s">
        <v>20</v>
      </c>
      <c r="K22" s="3" t="s">
        <v>20</v>
      </c>
      <c r="L22" s="2" t="s">
        <v>85</v>
      </c>
      <c r="N22" s="3" t="s">
        <v>40</v>
      </c>
      <c r="O22" s="3" t="b">
        <v>1</v>
      </c>
    </row>
    <row r="23" spans="1:15" ht="18.75" customHeight="1" x14ac:dyDescent="0.25">
      <c r="A23" s="1" t="s">
        <v>35</v>
      </c>
      <c r="B23" s="3" t="s">
        <v>36</v>
      </c>
      <c r="C23" s="3"/>
      <c r="D23" s="3" t="s">
        <v>86</v>
      </c>
      <c r="E23" s="6">
        <v>113</v>
      </c>
      <c r="F23" s="1" t="s">
        <v>87</v>
      </c>
      <c r="G23" s="3" t="s">
        <v>20</v>
      </c>
      <c r="H23" s="3" t="s">
        <v>20</v>
      </c>
      <c r="I23" s="3" t="s">
        <v>20</v>
      </c>
      <c r="J23" s="3" t="s">
        <v>20</v>
      </c>
      <c r="K23" s="3" t="s">
        <v>20</v>
      </c>
      <c r="L23" s="2" t="s">
        <v>88</v>
      </c>
      <c r="O23" s="3" t="b">
        <v>0</v>
      </c>
    </row>
    <row r="24" spans="1:15" ht="18.75" customHeight="1" x14ac:dyDescent="0.25">
      <c r="A24" s="1" t="s">
        <v>43</v>
      </c>
      <c r="B24" s="1" t="s">
        <v>44</v>
      </c>
      <c r="C24" s="1"/>
      <c r="D24" s="1" t="s">
        <v>89</v>
      </c>
      <c r="E24" s="4">
        <v>36</v>
      </c>
      <c r="F24" s="1" t="s">
        <v>90</v>
      </c>
      <c r="G24" s="3" t="s">
        <v>19</v>
      </c>
      <c r="H24" s="3" t="s">
        <v>20</v>
      </c>
      <c r="I24" s="3" t="s">
        <v>20</v>
      </c>
      <c r="J24" s="3" t="s">
        <v>20</v>
      </c>
      <c r="K24" s="3" t="s">
        <v>20</v>
      </c>
      <c r="L24" s="9" t="s">
        <v>91</v>
      </c>
      <c r="O24" s="3" t="b">
        <v>0</v>
      </c>
    </row>
    <row r="25" spans="1:15" ht="18.75" customHeight="1" x14ac:dyDescent="0.25">
      <c r="A25" s="1" t="s">
        <v>14</v>
      </c>
      <c r="B25" s="5" t="s">
        <v>51</v>
      </c>
      <c r="C25" s="5"/>
      <c r="D25" s="5" t="s">
        <v>92</v>
      </c>
      <c r="E25" s="7">
        <v>85</v>
      </c>
      <c r="F25" s="1" t="s">
        <v>53</v>
      </c>
      <c r="G25" s="3" t="s">
        <v>20</v>
      </c>
      <c r="H25" s="3" t="s">
        <v>20</v>
      </c>
      <c r="I25" s="3" t="s">
        <v>20</v>
      </c>
      <c r="J25" s="3" t="s">
        <v>19</v>
      </c>
      <c r="K25" s="3" t="s">
        <v>20</v>
      </c>
      <c r="L25" s="2" t="s">
        <v>93</v>
      </c>
      <c r="O25" s="3" t="b">
        <v>0</v>
      </c>
    </row>
    <row r="26" spans="1:15" ht="18.75" customHeight="1" x14ac:dyDescent="0.25">
      <c r="A26" s="1" t="s">
        <v>14</v>
      </c>
      <c r="B26" s="3" t="s">
        <v>15</v>
      </c>
      <c r="C26" s="3"/>
      <c r="D26" s="3" t="s">
        <v>94</v>
      </c>
      <c r="E26" s="6">
        <v>102</v>
      </c>
      <c r="F26" s="1" t="s">
        <v>17</v>
      </c>
      <c r="G26" s="5" t="s">
        <v>95</v>
      </c>
      <c r="H26" s="5" t="s">
        <v>19</v>
      </c>
      <c r="I26" s="5" t="s">
        <v>18</v>
      </c>
      <c r="J26" s="5" t="s">
        <v>18</v>
      </c>
      <c r="K26" s="5" t="s">
        <v>19</v>
      </c>
      <c r="L26" s="2" t="s">
        <v>96</v>
      </c>
      <c r="N26" s="3" t="s">
        <v>97</v>
      </c>
      <c r="O26" s="3" t="b">
        <v>1</v>
      </c>
    </row>
    <row r="27" spans="1:15" ht="18.75" customHeight="1" x14ac:dyDescent="0.25">
      <c r="A27" s="1" t="s">
        <v>65</v>
      </c>
      <c r="B27" s="1" t="s">
        <v>98</v>
      </c>
      <c r="C27" s="1"/>
      <c r="D27" s="1" t="s">
        <v>99</v>
      </c>
      <c r="E27" s="7">
        <v>62</v>
      </c>
      <c r="F27" s="1" t="s">
        <v>100</v>
      </c>
      <c r="G27" s="5" t="s">
        <v>20</v>
      </c>
      <c r="H27" s="5" t="s">
        <v>20</v>
      </c>
      <c r="I27" s="5" t="s">
        <v>20</v>
      </c>
      <c r="J27" s="5" t="s">
        <v>20</v>
      </c>
      <c r="K27" s="5" t="s">
        <v>20</v>
      </c>
      <c r="L27" s="2" t="s">
        <v>101</v>
      </c>
      <c r="M27" s="2" t="s">
        <v>102</v>
      </c>
      <c r="N27" s="3" t="s">
        <v>103</v>
      </c>
      <c r="O27" s="3" t="b">
        <v>1</v>
      </c>
    </row>
    <row r="28" spans="1:15" ht="18.75" customHeight="1" x14ac:dyDescent="0.25">
      <c r="A28" s="1" t="s">
        <v>65</v>
      </c>
      <c r="B28" s="1" t="s">
        <v>66</v>
      </c>
      <c r="C28" s="1"/>
      <c r="D28" s="1" t="s">
        <v>104</v>
      </c>
      <c r="E28" s="4">
        <v>19</v>
      </c>
      <c r="F28" s="1" t="s">
        <v>68</v>
      </c>
      <c r="G28" s="3" t="s">
        <v>19</v>
      </c>
      <c r="H28" s="3" t="s">
        <v>20</v>
      </c>
      <c r="I28" s="3" t="s">
        <v>20</v>
      </c>
      <c r="J28" s="3" t="s">
        <v>19</v>
      </c>
      <c r="K28" s="3" t="s">
        <v>19</v>
      </c>
      <c r="L28" s="2"/>
      <c r="M28" s="3" t="s">
        <v>105</v>
      </c>
      <c r="N28" s="3" t="s">
        <v>106</v>
      </c>
      <c r="O28" s="3" t="b">
        <v>0</v>
      </c>
    </row>
    <row r="29" spans="1:15" ht="18.75" customHeight="1" x14ac:dyDescent="0.25">
      <c r="A29" s="1" t="s">
        <v>65</v>
      </c>
      <c r="B29" s="1" t="s">
        <v>107</v>
      </c>
      <c r="C29" s="1"/>
      <c r="D29" s="1" t="s">
        <v>108</v>
      </c>
      <c r="E29" s="4">
        <v>23</v>
      </c>
      <c r="F29" s="1" t="s">
        <v>53</v>
      </c>
      <c r="G29" s="3" t="s">
        <v>19</v>
      </c>
      <c r="H29" s="3" t="s">
        <v>20</v>
      </c>
      <c r="I29" s="3" t="s">
        <v>20</v>
      </c>
      <c r="J29" s="3" t="s">
        <v>20</v>
      </c>
      <c r="K29" s="3" t="s">
        <v>19</v>
      </c>
      <c r="L29" s="2" t="s">
        <v>109</v>
      </c>
      <c r="O29" s="3" t="b">
        <v>0</v>
      </c>
    </row>
    <row r="30" spans="1:15" ht="18.75" customHeight="1" x14ac:dyDescent="0.25">
      <c r="A30" s="1" t="s">
        <v>43</v>
      </c>
      <c r="B30" s="1" t="s">
        <v>110</v>
      </c>
      <c r="C30" s="1"/>
      <c r="D30" s="1" t="s">
        <v>111</v>
      </c>
      <c r="E30" s="4">
        <v>29</v>
      </c>
      <c r="F30" s="1" t="s">
        <v>112</v>
      </c>
      <c r="G30" s="3" t="s">
        <v>19</v>
      </c>
      <c r="H30" s="3" t="s">
        <v>20</v>
      </c>
      <c r="I30" s="3" t="s">
        <v>19</v>
      </c>
      <c r="J30" s="3" t="s">
        <v>20</v>
      </c>
      <c r="K30" s="3" t="s">
        <v>46</v>
      </c>
      <c r="L30" s="2" t="s">
        <v>113</v>
      </c>
      <c r="N30" s="3" t="s">
        <v>114</v>
      </c>
      <c r="O30" s="3" t="b">
        <v>1</v>
      </c>
    </row>
    <row r="31" spans="1:15" ht="18.75" customHeight="1" x14ac:dyDescent="0.25">
      <c r="A31" s="1" t="s">
        <v>43</v>
      </c>
      <c r="B31" s="1" t="s">
        <v>110</v>
      </c>
      <c r="C31" s="1"/>
      <c r="D31" s="1" t="s">
        <v>115</v>
      </c>
      <c r="E31" s="4">
        <v>30</v>
      </c>
      <c r="F31" s="1" t="s">
        <v>112</v>
      </c>
      <c r="G31" s="3" t="s">
        <v>19</v>
      </c>
      <c r="H31" s="3" t="s">
        <v>20</v>
      </c>
      <c r="I31" s="3" t="s">
        <v>19</v>
      </c>
      <c r="J31" s="3" t="s">
        <v>20</v>
      </c>
      <c r="K31" s="3" t="s">
        <v>46</v>
      </c>
      <c r="L31" s="2" t="s">
        <v>116</v>
      </c>
      <c r="N31" s="3" t="s">
        <v>114</v>
      </c>
      <c r="O31" s="3" t="b">
        <v>1</v>
      </c>
    </row>
    <row r="32" spans="1:15" ht="18.75" customHeight="1" x14ac:dyDescent="0.25">
      <c r="A32" s="1" t="s">
        <v>24</v>
      </c>
      <c r="B32" s="1" t="s">
        <v>117</v>
      </c>
      <c r="C32" s="1" t="s">
        <v>117</v>
      </c>
      <c r="D32" s="1" t="s">
        <v>118</v>
      </c>
      <c r="E32" s="4">
        <v>31</v>
      </c>
      <c r="F32" s="1" t="s">
        <v>119</v>
      </c>
      <c r="G32" s="5" t="s">
        <v>19</v>
      </c>
      <c r="H32" s="5" t="s">
        <v>19</v>
      </c>
      <c r="I32" s="5" t="s">
        <v>20</v>
      </c>
      <c r="J32" s="5" t="s">
        <v>20</v>
      </c>
      <c r="K32" s="5" t="s">
        <v>20</v>
      </c>
      <c r="L32" s="2" t="s">
        <v>120</v>
      </c>
      <c r="N32" s="3" t="s">
        <v>121</v>
      </c>
      <c r="O32" s="3" t="b">
        <v>1</v>
      </c>
    </row>
    <row r="33" spans="1:15" ht="18.75" customHeight="1" x14ac:dyDescent="0.25">
      <c r="A33" s="1" t="s">
        <v>65</v>
      </c>
      <c r="B33" s="1" t="s">
        <v>98</v>
      </c>
      <c r="C33" s="1"/>
      <c r="D33" s="1" t="s">
        <v>122</v>
      </c>
      <c r="E33" s="7">
        <v>37</v>
      </c>
      <c r="F33" s="1" t="s">
        <v>100</v>
      </c>
      <c r="G33" s="5" t="s">
        <v>20</v>
      </c>
      <c r="H33" s="5" t="s">
        <v>20</v>
      </c>
      <c r="I33" s="5" t="s">
        <v>20</v>
      </c>
      <c r="J33" s="5" t="s">
        <v>20</v>
      </c>
      <c r="K33" s="5" t="s">
        <v>20</v>
      </c>
      <c r="L33" s="2" t="s">
        <v>123</v>
      </c>
      <c r="M33" s="2" t="s">
        <v>124</v>
      </c>
      <c r="N33" s="3" t="s">
        <v>125</v>
      </c>
      <c r="O33" s="3" t="b">
        <v>1</v>
      </c>
    </row>
    <row r="34" spans="1:15" ht="18.75" customHeight="1" x14ac:dyDescent="0.25">
      <c r="A34" s="1" t="s">
        <v>65</v>
      </c>
      <c r="B34" s="1" t="s">
        <v>98</v>
      </c>
      <c r="D34" s="3" t="s">
        <v>126</v>
      </c>
      <c r="E34" s="6">
        <v>42</v>
      </c>
      <c r="F34" s="3" t="s">
        <v>100</v>
      </c>
      <c r="G34" s="3" t="s">
        <v>20</v>
      </c>
      <c r="H34" s="3" t="s">
        <v>20</v>
      </c>
      <c r="I34" s="3" t="s">
        <v>20</v>
      </c>
      <c r="J34" s="3" t="s">
        <v>20</v>
      </c>
      <c r="K34" s="3" t="s">
        <v>20</v>
      </c>
      <c r="L34" s="2"/>
    </row>
    <row r="35" spans="1:15" ht="18.75" customHeight="1" x14ac:dyDescent="0.25">
      <c r="A35" s="1" t="s">
        <v>14</v>
      </c>
      <c r="B35" s="1" t="s">
        <v>127</v>
      </c>
      <c r="C35" s="1"/>
      <c r="D35" s="1" t="s">
        <v>128</v>
      </c>
      <c r="E35" s="4">
        <v>7</v>
      </c>
      <c r="F35" s="1" t="s">
        <v>17</v>
      </c>
      <c r="G35" s="5" t="s">
        <v>46</v>
      </c>
      <c r="H35" s="5" t="s">
        <v>46</v>
      </c>
      <c r="I35" s="5" t="s">
        <v>46</v>
      </c>
      <c r="J35" s="5" t="s">
        <v>46</v>
      </c>
      <c r="K35" s="5" t="s">
        <v>46</v>
      </c>
      <c r="L35" s="2"/>
      <c r="M35" s="3" t="s">
        <v>129</v>
      </c>
      <c r="N35" s="3" t="s">
        <v>130</v>
      </c>
      <c r="O35" s="3" t="b">
        <v>1</v>
      </c>
    </row>
    <row r="36" spans="1:15" ht="18.75" customHeight="1" x14ac:dyDescent="0.25">
      <c r="A36" s="1" t="s">
        <v>14</v>
      </c>
      <c r="B36" s="5" t="s">
        <v>51</v>
      </c>
      <c r="C36" s="5"/>
      <c r="D36" s="5" t="s">
        <v>131</v>
      </c>
      <c r="E36" s="7">
        <v>81</v>
      </c>
      <c r="F36" s="1" t="s">
        <v>112</v>
      </c>
      <c r="G36" s="3" t="s">
        <v>19</v>
      </c>
      <c r="H36" s="3" t="s">
        <v>20</v>
      </c>
      <c r="I36" s="3" t="s">
        <v>20</v>
      </c>
      <c r="J36" s="3" t="s">
        <v>19</v>
      </c>
      <c r="K36" s="3" t="s">
        <v>46</v>
      </c>
      <c r="L36" s="2" t="s">
        <v>132</v>
      </c>
      <c r="O36" s="3" t="b">
        <v>0</v>
      </c>
    </row>
    <row r="37" spans="1:15" ht="18.75" customHeight="1" x14ac:dyDescent="0.25">
      <c r="A37" s="1" t="s">
        <v>65</v>
      </c>
      <c r="B37" s="1" t="s">
        <v>107</v>
      </c>
      <c r="C37" s="1"/>
      <c r="D37" s="1" t="s">
        <v>133</v>
      </c>
      <c r="E37" s="4">
        <v>20</v>
      </c>
      <c r="F37" s="1" t="s">
        <v>68</v>
      </c>
      <c r="G37" s="3" t="s">
        <v>18</v>
      </c>
      <c r="H37" s="3" t="s">
        <v>19</v>
      </c>
      <c r="I37" s="3" t="s">
        <v>19</v>
      </c>
      <c r="J37" s="3" t="s">
        <v>19</v>
      </c>
      <c r="K37" s="3" t="s">
        <v>20</v>
      </c>
      <c r="L37" s="2" t="s">
        <v>134</v>
      </c>
      <c r="N37" s="3" t="s">
        <v>135</v>
      </c>
      <c r="O37" s="3" t="b">
        <v>0</v>
      </c>
    </row>
    <row r="38" spans="1:15" ht="18.75" customHeight="1" x14ac:dyDescent="0.25">
      <c r="A38" s="1" t="s">
        <v>35</v>
      </c>
      <c r="B38" s="3" t="s">
        <v>136</v>
      </c>
      <c r="C38" s="3"/>
      <c r="D38" s="3" t="s">
        <v>137</v>
      </c>
      <c r="E38" s="6">
        <v>98</v>
      </c>
      <c r="F38" s="1" t="s">
        <v>38</v>
      </c>
      <c r="G38" s="5" t="s">
        <v>46</v>
      </c>
      <c r="H38" s="5" t="s">
        <v>20</v>
      </c>
      <c r="I38" s="5" t="s">
        <v>46</v>
      </c>
      <c r="J38" s="5" t="s">
        <v>20</v>
      </c>
      <c r="K38" s="5" t="s">
        <v>19</v>
      </c>
      <c r="L38" s="2"/>
      <c r="M38" s="3" t="s">
        <v>138</v>
      </c>
      <c r="N38" s="3" t="s">
        <v>139</v>
      </c>
      <c r="O38" s="3" t="b">
        <v>1</v>
      </c>
    </row>
    <row r="39" spans="1:15" ht="18.75" customHeight="1" x14ac:dyDescent="0.25">
      <c r="A39" s="1" t="s">
        <v>65</v>
      </c>
      <c r="B39" s="1" t="s">
        <v>66</v>
      </c>
      <c r="C39" s="1"/>
      <c r="D39" s="1" t="s">
        <v>140</v>
      </c>
      <c r="E39" s="4">
        <v>15</v>
      </c>
      <c r="F39" s="1" t="s">
        <v>68</v>
      </c>
      <c r="G39" s="3" t="s">
        <v>19</v>
      </c>
      <c r="H39" s="3" t="s">
        <v>19</v>
      </c>
      <c r="I39" s="3" t="s">
        <v>20</v>
      </c>
      <c r="J39" s="3" t="s">
        <v>19</v>
      </c>
      <c r="K39" s="3" t="s">
        <v>19</v>
      </c>
      <c r="L39" s="2"/>
      <c r="M39" s="3" t="s">
        <v>141</v>
      </c>
      <c r="N39" s="3" t="s">
        <v>142</v>
      </c>
      <c r="O39" s="3" t="b">
        <v>0</v>
      </c>
    </row>
    <row r="40" spans="1:15" ht="18.75" customHeight="1" x14ac:dyDescent="0.25">
      <c r="A40" s="1" t="s">
        <v>65</v>
      </c>
      <c r="B40" s="1" t="s">
        <v>107</v>
      </c>
      <c r="C40" s="1"/>
      <c r="D40" s="1" t="s">
        <v>143</v>
      </c>
      <c r="E40" s="4">
        <v>21</v>
      </c>
      <c r="F40" s="1" t="s">
        <v>68</v>
      </c>
      <c r="G40" s="3" t="s">
        <v>20</v>
      </c>
      <c r="H40" s="3" t="s">
        <v>20</v>
      </c>
      <c r="I40" s="3" t="s">
        <v>20</v>
      </c>
      <c r="J40" s="3" t="s">
        <v>20</v>
      </c>
      <c r="K40" s="3" t="s">
        <v>20</v>
      </c>
      <c r="L40" s="2"/>
      <c r="O40" s="3" t="b">
        <v>0</v>
      </c>
    </row>
    <row r="41" spans="1:15" ht="18.75" customHeight="1" x14ac:dyDescent="0.25">
      <c r="A41" s="1" t="s">
        <v>35</v>
      </c>
      <c r="B41" s="3" t="s">
        <v>136</v>
      </c>
      <c r="C41" s="3"/>
      <c r="D41" s="3" t="s">
        <v>144</v>
      </c>
      <c r="E41" s="7">
        <v>90</v>
      </c>
      <c r="F41" s="3" t="s">
        <v>38</v>
      </c>
      <c r="G41" s="5" t="s">
        <v>19</v>
      </c>
      <c r="H41" s="5" t="s">
        <v>20</v>
      </c>
      <c r="I41" s="5" t="s">
        <v>20</v>
      </c>
      <c r="J41" s="5" t="s">
        <v>20</v>
      </c>
      <c r="K41" s="5" t="s">
        <v>19</v>
      </c>
      <c r="L41" s="2"/>
      <c r="M41" s="3" t="s">
        <v>145</v>
      </c>
      <c r="N41" s="3" t="s">
        <v>146</v>
      </c>
      <c r="O41" s="3" t="b">
        <v>1</v>
      </c>
    </row>
    <row r="42" spans="1:15" ht="18.75" customHeight="1" x14ac:dyDescent="0.25">
      <c r="A42" s="1" t="s">
        <v>65</v>
      </c>
      <c r="B42" s="1" t="s">
        <v>147</v>
      </c>
      <c r="C42" s="1"/>
      <c r="D42" s="1" t="s">
        <v>148</v>
      </c>
      <c r="E42" s="7">
        <v>50</v>
      </c>
      <c r="F42" s="1" t="s">
        <v>100</v>
      </c>
      <c r="G42" s="3" t="s">
        <v>19</v>
      </c>
      <c r="H42" s="3" t="s">
        <v>19</v>
      </c>
      <c r="I42" s="3" t="s">
        <v>19</v>
      </c>
      <c r="J42" s="3" t="s">
        <v>20</v>
      </c>
      <c r="K42" s="3" t="s">
        <v>20</v>
      </c>
      <c r="L42" s="2" t="s">
        <v>149</v>
      </c>
      <c r="M42" s="2" t="s">
        <v>150</v>
      </c>
      <c r="N42" s="3" t="s">
        <v>151</v>
      </c>
      <c r="O42" s="3" t="b">
        <v>1</v>
      </c>
    </row>
    <row r="43" spans="1:15" ht="18.75" customHeight="1" x14ac:dyDescent="0.25">
      <c r="A43" s="1" t="s">
        <v>65</v>
      </c>
      <c r="B43" s="1" t="s">
        <v>147</v>
      </c>
      <c r="C43" s="1"/>
      <c r="D43" s="1" t="s">
        <v>152</v>
      </c>
      <c r="E43" s="7">
        <v>44</v>
      </c>
      <c r="F43" s="1" t="s">
        <v>100</v>
      </c>
      <c r="G43" s="3" t="s">
        <v>20</v>
      </c>
      <c r="H43" s="3" t="s">
        <v>20</v>
      </c>
      <c r="I43" s="3" t="s">
        <v>20</v>
      </c>
      <c r="J43" s="3" t="s">
        <v>20</v>
      </c>
      <c r="K43" s="3" t="s">
        <v>20</v>
      </c>
      <c r="L43" s="2"/>
      <c r="N43" s="3" t="s">
        <v>153</v>
      </c>
      <c r="O43" s="3" t="b">
        <v>1</v>
      </c>
    </row>
    <row r="44" spans="1:15" ht="18.75" customHeight="1" x14ac:dyDescent="0.25">
      <c r="A44" s="1" t="s">
        <v>65</v>
      </c>
      <c r="B44" s="1" t="s">
        <v>154</v>
      </c>
      <c r="C44" s="3"/>
      <c r="D44" s="3" t="s">
        <v>155</v>
      </c>
      <c r="E44" s="6">
        <v>130</v>
      </c>
      <c r="F44" s="3" t="s">
        <v>156</v>
      </c>
      <c r="G44" s="3" t="s">
        <v>19</v>
      </c>
      <c r="H44" s="3" t="s">
        <v>20</v>
      </c>
      <c r="I44" s="3" t="s">
        <v>19</v>
      </c>
      <c r="J44" s="3" t="s">
        <v>20</v>
      </c>
      <c r="K44" s="3" t="s">
        <v>19</v>
      </c>
      <c r="L44" s="2" t="s">
        <v>157</v>
      </c>
      <c r="M44" s="2" t="s">
        <v>158</v>
      </c>
      <c r="O44" s="3" t="b">
        <v>0</v>
      </c>
    </row>
    <row r="45" spans="1:15" ht="18.75" customHeight="1" x14ac:dyDescent="0.25">
      <c r="A45" s="1" t="s">
        <v>43</v>
      </c>
      <c r="B45" s="3" t="s">
        <v>44</v>
      </c>
      <c r="C45" s="3"/>
      <c r="D45" s="3" t="s">
        <v>159</v>
      </c>
      <c r="E45" s="6">
        <v>106</v>
      </c>
      <c r="F45" s="1" t="s">
        <v>42</v>
      </c>
      <c r="G45" s="5" t="s">
        <v>19</v>
      </c>
      <c r="H45" s="5" t="s">
        <v>19</v>
      </c>
      <c r="I45" s="5" t="s">
        <v>19</v>
      </c>
      <c r="J45" s="5" t="s">
        <v>46</v>
      </c>
      <c r="K45" s="5" t="s">
        <v>46</v>
      </c>
      <c r="L45" s="2" t="s">
        <v>160</v>
      </c>
      <c r="O45" s="3" t="b">
        <v>1</v>
      </c>
    </row>
    <row r="46" spans="1:15" ht="18.75" customHeight="1" x14ac:dyDescent="0.25">
      <c r="A46" s="1" t="s">
        <v>35</v>
      </c>
      <c r="B46" s="3" t="s">
        <v>36</v>
      </c>
      <c r="C46" s="3"/>
      <c r="D46" s="3" t="s">
        <v>161</v>
      </c>
      <c r="E46" s="6">
        <v>111</v>
      </c>
      <c r="F46" s="1" t="s">
        <v>87</v>
      </c>
      <c r="G46" s="3" t="s">
        <v>20</v>
      </c>
      <c r="H46" s="3" t="s">
        <v>20</v>
      </c>
      <c r="I46" s="3" t="s">
        <v>20</v>
      </c>
      <c r="J46" s="3" t="s">
        <v>20</v>
      </c>
      <c r="K46" s="3" t="s">
        <v>20</v>
      </c>
      <c r="L46" s="2" t="s">
        <v>162</v>
      </c>
      <c r="O46" s="3" t="b">
        <v>0</v>
      </c>
    </row>
    <row r="47" spans="1:15" ht="18.75" customHeight="1" x14ac:dyDescent="0.25">
      <c r="A47" s="1" t="s">
        <v>35</v>
      </c>
      <c r="B47" s="3" t="s">
        <v>36</v>
      </c>
      <c r="C47" s="3"/>
      <c r="D47" s="3" t="s">
        <v>163</v>
      </c>
      <c r="E47" s="6">
        <v>110</v>
      </c>
      <c r="F47" s="1" t="s">
        <v>42</v>
      </c>
      <c r="G47" s="5" t="s">
        <v>20</v>
      </c>
      <c r="H47" s="5" t="s">
        <v>20</v>
      </c>
      <c r="I47" s="5" t="s">
        <v>20</v>
      </c>
      <c r="J47" s="5" t="s">
        <v>20</v>
      </c>
      <c r="K47" s="5" t="s">
        <v>20</v>
      </c>
      <c r="L47" s="2"/>
      <c r="O47" s="3" t="b">
        <v>1</v>
      </c>
    </row>
    <row r="48" spans="1:15" ht="18.75" customHeight="1" x14ac:dyDescent="0.25">
      <c r="A48" s="1" t="s">
        <v>65</v>
      </c>
      <c r="B48" s="8" t="s">
        <v>154</v>
      </c>
      <c r="C48" s="3"/>
      <c r="D48" s="3" t="s">
        <v>164</v>
      </c>
      <c r="E48" s="6">
        <v>135</v>
      </c>
      <c r="F48" s="3" t="s">
        <v>156</v>
      </c>
      <c r="G48" s="3" t="s">
        <v>19</v>
      </c>
      <c r="H48" s="3" t="s">
        <v>20</v>
      </c>
      <c r="I48" s="3" t="s">
        <v>20</v>
      </c>
      <c r="J48" s="3" t="s">
        <v>20</v>
      </c>
      <c r="K48" s="3" t="s">
        <v>20</v>
      </c>
      <c r="L48" s="2" t="s">
        <v>165</v>
      </c>
      <c r="O48" s="3" t="b">
        <v>0</v>
      </c>
    </row>
    <row r="49" spans="1:15" ht="18.75" customHeight="1" x14ac:dyDescent="0.25">
      <c r="A49" s="1" t="s">
        <v>14</v>
      </c>
      <c r="B49" s="3" t="s">
        <v>15</v>
      </c>
      <c r="C49" s="3"/>
      <c r="D49" s="3" t="s">
        <v>166</v>
      </c>
      <c r="E49" s="6">
        <v>100</v>
      </c>
      <c r="F49" s="1" t="s">
        <v>17</v>
      </c>
      <c r="G49" s="5" t="s">
        <v>19</v>
      </c>
      <c r="H49" s="5" t="s">
        <v>19</v>
      </c>
      <c r="I49" s="5" t="s">
        <v>20</v>
      </c>
      <c r="J49" s="5" t="s">
        <v>20</v>
      </c>
      <c r="K49" s="5" t="s">
        <v>20</v>
      </c>
      <c r="L49" s="2" t="s">
        <v>167</v>
      </c>
      <c r="M49" s="3" t="s">
        <v>168</v>
      </c>
      <c r="N49" s="3" t="s">
        <v>169</v>
      </c>
      <c r="O49" s="3" t="b">
        <v>1</v>
      </c>
    </row>
    <row r="50" spans="1:15" ht="18.75" customHeight="1" x14ac:dyDescent="0.25">
      <c r="A50" s="1" t="s">
        <v>14</v>
      </c>
      <c r="B50" s="5" t="s">
        <v>170</v>
      </c>
      <c r="C50" s="5"/>
      <c r="D50" s="5" t="s">
        <v>171</v>
      </c>
      <c r="E50" s="7">
        <v>80</v>
      </c>
      <c r="F50" s="1" t="s">
        <v>112</v>
      </c>
      <c r="G50" s="3" t="s">
        <v>19</v>
      </c>
      <c r="H50" s="3" t="s">
        <v>20</v>
      </c>
      <c r="I50" s="3" t="s">
        <v>18</v>
      </c>
      <c r="J50" s="3" t="s">
        <v>20</v>
      </c>
      <c r="K50" s="3" t="s">
        <v>20</v>
      </c>
      <c r="L50" s="2" t="s">
        <v>172</v>
      </c>
      <c r="O50" s="3" t="b">
        <v>0</v>
      </c>
    </row>
    <row r="51" spans="1:15" ht="18.75" customHeight="1" x14ac:dyDescent="0.25">
      <c r="A51" s="1" t="s">
        <v>14</v>
      </c>
      <c r="B51" s="5" t="s">
        <v>170</v>
      </c>
      <c r="C51" s="5"/>
      <c r="D51" s="5" t="s">
        <v>173</v>
      </c>
      <c r="E51" s="7">
        <v>88</v>
      </c>
      <c r="F51" s="1" t="s">
        <v>90</v>
      </c>
      <c r="G51" s="3" t="s">
        <v>20</v>
      </c>
      <c r="H51" s="3" t="s">
        <v>20</v>
      </c>
      <c r="I51" s="3" t="s">
        <v>20</v>
      </c>
      <c r="J51" s="3" t="s">
        <v>20</v>
      </c>
      <c r="K51" s="3" t="s">
        <v>20</v>
      </c>
      <c r="L51" s="2" t="s">
        <v>174</v>
      </c>
      <c r="O51" s="3" t="b">
        <v>0</v>
      </c>
    </row>
    <row r="52" spans="1:15" ht="18.75" customHeight="1" x14ac:dyDescent="0.25">
      <c r="A52" s="1" t="s">
        <v>43</v>
      </c>
      <c r="B52" s="8" t="s">
        <v>110</v>
      </c>
      <c r="C52" s="10"/>
      <c r="D52" s="10" t="s">
        <v>175</v>
      </c>
      <c r="E52" s="6">
        <v>127</v>
      </c>
      <c r="F52" s="3" t="s">
        <v>176</v>
      </c>
      <c r="G52" s="3" t="s">
        <v>19</v>
      </c>
      <c r="H52" s="3" t="s">
        <v>20</v>
      </c>
      <c r="I52" s="3" t="s">
        <v>19</v>
      </c>
      <c r="J52" s="3" t="s">
        <v>20</v>
      </c>
      <c r="K52" s="3" t="s">
        <v>20</v>
      </c>
      <c r="L52" s="9" t="s">
        <v>177</v>
      </c>
      <c r="M52" s="3" t="s">
        <v>178</v>
      </c>
      <c r="O52" s="3" t="b">
        <v>0</v>
      </c>
    </row>
    <row r="53" spans="1:15" ht="18.75" customHeight="1" x14ac:dyDescent="0.25">
      <c r="A53" s="1" t="s">
        <v>65</v>
      </c>
      <c r="B53" s="1" t="s">
        <v>66</v>
      </c>
      <c r="C53" s="1"/>
      <c r="D53" s="1" t="s">
        <v>179</v>
      </c>
      <c r="E53" s="4">
        <v>12</v>
      </c>
      <c r="F53" s="1" t="s">
        <v>68</v>
      </c>
      <c r="G53" s="3" t="s">
        <v>20</v>
      </c>
      <c r="H53" s="3" t="s">
        <v>19</v>
      </c>
      <c r="I53" s="3" t="s">
        <v>20</v>
      </c>
      <c r="J53" s="3" t="s">
        <v>20</v>
      </c>
      <c r="K53" s="3" t="s">
        <v>20</v>
      </c>
      <c r="L53" s="2"/>
      <c r="M53" s="3" t="s">
        <v>180</v>
      </c>
      <c r="N53" s="3" t="s">
        <v>181</v>
      </c>
      <c r="O53" s="3" t="b">
        <v>0</v>
      </c>
    </row>
    <row r="54" spans="1:15" ht="18.75" customHeight="1" x14ac:dyDescent="0.25">
      <c r="A54" s="1" t="s">
        <v>43</v>
      </c>
      <c r="B54" s="8" t="s">
        <v>110</v>
      </c>
      <c r="C54" s="10"/>
      <c r="D54" s="10" t="s">
        <v>182</v>
      </c>
      <c r="E54" s="6">
        <v>126</v>
      </c>
      <c r="F54" s="3" t="s">
        <v>176</v>
      </c>
      <c r="G54" s="3" t="s">
        <v>19</v>
      </c>
      <c r="H54" s="3" t="s">
        <v>20</v>
      </c>
      <c r="I54" s="3" t="s">
        <v>19</v>
      </c>
      <c r="J54" s="3" t="s">
        <v>20</v>
      </c>
      <c r="K54" s="3" t="s">
        <v>20</v>
      </c>
      <c r="L54" s="2" t="s">
        <v>183</v>
      </c>
      <c r="M54" s="3" t="s">
        <v>184</v>
      </c>
      <c r="O54" s="3" t="b">
        <v>0</v>
      </c>
    </row>
    <row r="55" spans="1:15" ht="18.75" customHeight="1" x14ac:dyDescent="0.25">
      <c r="A55" s="1" t="s">
        <v>65</v>
      </c>
      <c r="B55" s="1" t="s">
        <v>66</v>
      </c>
      <c r="C55" s="1"/>
      <c r="D55" s="1" t="s">
        <v>185</v>
      </c>
      <c r="E55" s="4">
        <v>13</v>
      </c>
      <c r="F55" s="1" t="s">
        <v>68</v>
      </c>
      <c r="G55" s="3" t="s">
        <v>20</v>
      </c>
      <c r="H55" s="3" t="s">
        <v>19</v>
      </c>
      <c r="I55" s="3" t="s">
        <v>20</v>
      </c>
      <c r="J55" s="3" t="s">
        <v>20</v>
      </c>
      <c r="K55" s="3" t="s">
        <v>20</v>
      </c>
      <c r="L55" s="2"/>
      <c r="M55" s="3" t="s">
        <v>186</v>
      </c>
      <c r="N55" s="6" t="s">
        <v>187</v>
      </c>
      <c r="O55" s="3" t="b">
        <v>0</v>
      </c>
    </row>
    <row r="56" spans="1:15" ht="18.75" customHeight="1" x14ac:dyDescent="0.25">
      <c r="A56" s="1" t="s">
        <v>43</v>
      </c>
      <c r="B56" s="3" t="s">
        <v>44</v>
      </c>
      <c r="C56" s="3"/>
      <c r="D56" s="3" t="s">
        <v>188</v>
      </c>
      <c r="E56" s="6">
        <v>105</v>
      </c>
      <c r="F56" s="1" t="s">
        <v>42</v>
      </c>
      <c r="G56" s="5" t="s">
        <v>20</v>
      </c>
      <c r="H56" s="5" t="s">
        <v>20</v>
      </c>
      <c r="I56" s="5" t="s">
        <v>20</v>
      </c>
      <c r="J56" s="5" t="s">
        <v>46</v>
      </c>
      <c r="K56" s="5" t="s">
        <v>20</v>
      </c>
      <c r="L56" s="2"/>
      <c r="N56" s="3" t="s">
        <v>189</v>
      </c>
      <c r="O56" s="3" t="b">
        <v>1</v>
      </c>
    </row>
    <row r="57" spans="1:15" ht="18.75" customHeight="1" x14ac:dyDescent="0.25">
      <c r="A57" s="1" t="s">
        <v>14</v>
      </c>
      <c r="B57" s="3" t="s">
        <v>15</v>
      </c>
      <c r="C57" s="3"/>
      <c r="D57" s="3" t="s">
        <v>190</v>
      </c>
      <c r="E57" s="6">
        <v>115</v>
      </c>
      <c r="F57" s="1" t="s">
        <v>73</v>
      </c>
      <c r="G57" s="3" t="s">
        <v>20</v>
      </c>
      <c r="H57" s="3" t="s">
        <v>20</v>
      </c>
      <c r="I57" s="3" t="s">
        <v>20</v>
      </c>
      <c r="J57" s="3" t="s">
        <v>20</v>
      </c>
      <c r="K57" s="3" t="s">
        <v>20</v>
      </c>
      <c r="L57" s="2"/>
      <c r="N57" s="3" t="s">
        <v>191</v>
      </c>
      <c r="O57" s="3" t="b">
        <v>1</v>
      </c>
    </row>
    <row r="58" spans="1:15" ht="18.75" customHeight="1" x14ac:dyDescent="0.25">
      <c r="A58" s="1" t="s">
        <v>14</v>
      </c>
      <c r="B58" s="5" t="s">
        <v>51</v>
      </c>
      <c r="C58" s="5"/>
      <c r="D58" s="5" t="s">
        <v>192</v>
      </c>
      <c r="E58" s="7">
        <v>79</v>
      </c>
      <c r="F58" s="1" t="s">
        <v>53</v>
      </c>
      <c r="G58" s="3" t="s">
        <v>20</v>
      </c>
      <c r="H58" s="3" t="s">
        <v>20</v>
      </c>
      <c r="I58" s="3" t="s">
        <v>20</v>
      </c>
      <c r="J58" s="3" t="s">
        <v>20</v>
      </c>
      <c r="K58" s="3" t="s">
        <v>20</v>
      </c>
      <c r="L58" s="2"/>
      <c r="O58" s="3" t="b">
        <v>0</v>
      </c>
    </row>
    <row r="59" spans="1:15" ht="18.75" customHeight="1" x14ac:dyDescent="0.25">
      <c r="A59" s="1" t="s">
        <v>43</v>
      </c>
      <c r="B59" s="1" t="s">
        <v>44</v>
      </c>
      <c r="C59" s="1"/>
      <c r="D59" s="1" t="s">
        <v>193</v>
      </c>
      <c r="E59" s="4">
        <v>35</v>
      </c>
      <c r="F59" s="1" t="s">
        <v>42</v>
      </c>
      <c r="G59" s="5" t="s">
        <v>19</v>
      </c>
      <c r="H59" s="5" t="s">
        <v>19</v>
      </c>
      <c r="I59" s="5" t="s">
        <v>19</v>
      </c>
      <c r="J59" s="5" t="s">
        <v>46</v>
      </c>
      <c r="K59" s="5" t="s">
        <v>19</v>
      </c>
      <c r="L59" s="2" t="s">
        <v>194</v>
      </c>
      <c r="N59" s="3" t="s">
        <v>195</v>
      </c>
      <c r="O59" s="3" t="b">
        <v>1</v>
      </c>
    </row>
    <row r="60" spans="1:15" ht="18.75" customHeight="1" x14ac:dyDescent="0.25">
      <c r="A60" s="1" t="s">
        <v>14</v>
      </c>
      <c r="B60" s="3" t="s">
        <v>15</v>
      </c>
      <c r="C60" s="3"/>
      <c r="D60" s="3" t="s">
        <v>196</v>
      </c>
      <c r="E60" s="6">
        <v>116</v>
      </c>
      <c r="F60" s="1" t="s">
        <v>73</v>
      </c>
      <c r="G60" s="3" t="s">
        <v>20</v>
      </c>
      <c r="H60" s="3" t="s">
        <v>20</v>
      </c>
      <c r="I60" s="3" t="s">
        <v>20</v>
      </c>
      <c r="J60" s="3" t="s">
        <v>20</v>
      </c>
      <c r="K60" s="3" t="s">
        <v>20</v>
      </c>
      <c r="L60" s="2"/>
      <c r="O60" s="3" t="b">
        <v>0</v>
      </c>
    </row>
    <row r="61" spans="1:15" ht="18.75" customHeight="1" x14ac:dyDescent="0.25">
      <c r="A61" s="1" t="s">
        <v>65</v>
      </c>
      <c r="B61" s="3" t="s">
        <v>98</v>
      </c>
      <c r="D61" s="3" t="s">
        <v>197</v>
      </c>
      <c r="E61" s="6">
        <v>38</v>
      </c>
      <c r="F61" s="3" t="s">
        <v>100</v>
      </c>
      <c r="G61" s="3" t="s">
        <v>20</v>
      </c>
      <c r="H61" s="3" t="s">
        <v>20</v>
      </c>
      <c r="I61" s="3" t="s">
        <v>20</v>
      </c>
      <c r="J61" s="3" t="s">
        <v>20</v>
      </c>
      <c r="K61" s="3" t="s">
        <v>20</v>
      </c>
      <c r="L61" s="2"/>
    </row>
    <row r="62" spans="1:15" ht="18.75" customHeight="1" x14ac:dyDescent="0.25">
      <c r="A62" s="1" t="s">
        <v>35</v>
      </c>
      <c r="B62" s="3" t="s">
        <v>36</v>
      </c>
      <c r="C62" s="3"/>
      <c r="D62" s="3" t="s">
        <v>198</v>
      </c>
      <c r="E62" s="6">
        <v>91</v>
      </c>
      <c r="F62" s="1" t="s">
        <v>38</v>
      </c>
      <c r="G62" s="5" t="s">
        <v>20</v>
      </c>
      <c r="H62" s="5" t="s">
        <v>20</v>
      </c>
      <c r="I62" s="5" t="s">
        <v>20</v>
      </c>
      <c r="J62" s="5" t="s">
        <v>20</v>
      </c>
      <c r="K62" s="5" t="s">
        <v>20</v>
      </c>
      <c r="L62" s="2"/>
      <c r="O62" s="3" t="b">
        <v>1</v>
      </c>
    </row>
    <row r="63" spans="1:15" ht="18.75" customHeight="1" x14ac:dyDescent="0.25">
      <c r="A63" s="1" t="s">
        <v>35</v>
      </c>
      <c r="B63" s="3" t="s">
        <v>36</v>
      </c>
      <c r="C63" s="3"/>
      <c r="D63" s="3" t="s">
        <v>199</v>
      </c>
      <c r="E63" s="6">
        <v>92</v>
      </c>
      <c r="F63" s="1" t="s">
        <v>38</v>
      </c>
      <c r="G63" s="5" t="s">
        <v>20</v>
      </c>
      <c r="H63" s="5" t="s">
        <v>20</v>
      </c>
      <c r="I63" s="5" t="s">
        <v>20</v>
      </c>
      <c r="J63" s="5" t="s">
        <v>20</v>
      </c>
      <c r="K63" s="5" t="s">
        <v>20</v>
      </c>
      <c r="L63" s="2"/>
      <c r="O63" s="3" t="b">
        <v>1</v>
      </c>
    </row>
    <row r="64" spans="1:15" ht="18.75" customHeight="1" x14ac:dyDescent="0.25">
      <c r="A64" s="1" t="s">
        <v>35</v>
      </c>
      <c r="B64" s="3" t="s">
        <v>36</v>
      </c>
      <c r="C64" s="3"/>
      <c r="D64" s="3" t="s">
        <v>200</v>
      </c>
      <c r="E64" s="6">
        <v>93</v>
      </c>
      <c r="F64" s="1" t="s">
        <v>38</v>
      </c>
      <c r="G64" s="5" t="s">
        <v>20</v>
      </c>
      <c r="H64" s="5" t="s">
        <v>20</v>
      </c>
      <c r="I64" s="5" t="s">
        <v>20</v>
      </c>
      <c r="J64" s="5" t="s">
        <v>20</v>
      </c>
      <c r="K64" s="5" t="s">
        <v>20</v>
      </c>
      <c r="L64" s="2"/>
      <c r="O64" s="3" t="b">
        <v>1</v>
      </c>
    </row>
    <row r="65" spans="1:15" ht="18.75" customHeight="1" x14ac:dyDescent="0.25">
      <c r="A65" s="1" t="s">
        <v>43</v>
      </c>
      <c r="B65" s="8" t="s">
        <v>44</v>
      </c>
      <c r="C65" s="10"/>
      <c r="D65" s="10" t="s">
        <v>201</v>
      </c>
      <c r="E65" s="6">
        <v>117</v>
      </c>
      <c r="F65" s="3" t="s">
        <v>176</v>
      </c>
      <c r="G65" s="3" t="s">
        <v>19</v>
      </c>
      <c r="H65" s="3" t="s">
        <v>20</v>
      </c>
      <c r="I65" s="3" t="s">
        <v>19</v>
      </c>
      <c r="J65" s="3" t="s">
        <v>20</v>
      </c>
      <c r="K65" s="3" t="s">
        <v>20</v>
      </c>
      <c r="L65" s="9" t="s">
        <v>202</v>
      </c>
      <c r="M65" s="3" t="s">
        <v>203</v>
      </c>
      <c r="O65" s="3" t="b">
        <v>0</v>
      </c>
    </row>
    <row r="66" spans="1:15" ht="18.75" customHeight="1" x14ac:dyDescent="0.25">
      <c r="A66" s="1" t="s">
        <v>43</v>
      </c>
      <c r="B66" s="8" t="s">
        <v>44</v>
      </c>
      <c r="C66" s="10"/>
      <c r="D66" s="10" t="s">
        <v>204</v>
      </c>
      <c r="E66" s="6">
        <v>118</v>
      </c>
      <c r="F66" s="3" t="s">
        <v>176</v>
      </c>
      <c r="G66" s="3" t="s">
        <v>18</v>
      </c>
      <c r="H66" s="3" t="s">
        <v>20</v>
      </c>
      <c r="I66" s="3" t="s">
        <v>19</v>
      </c>
      <c r="J66" s="3" t="s">
        <v>20</v>
      </c>
      <c r="K66" s="3" t="s">
        <v>20</v>
      </c>
      <c r="L66" s="2" t="s">
        <v>205</v>
      </c>
      <c r="M66" s="3" t="s">
        <v>206</v>
      </c>
      <c r="O66" s="3" t="b">
        <v>0</v>
      </c>
    </row>
    <row r="67" spans="1:15" ht="18.75" customHeight="1" x14ac:dyDescent="0.25">
      <c r="A67" s="1" t="s">
        <v>35</v>
      </c>
      <c r="B67" s="1" t="s">
        <v>36</v>
      </c>
      <c r="C67" s="1"/>
      <c r="D67" s="1" t="s">
        <v>207</v>
      </c>
      <c r="E67" s="4">
        <v>34</v>
      </c>
      <c r="F67" s="1" t="s">
        <v>90</v>
      </c>
      <c r="G67" s="3" t="s">
        <v>20</v>
      </c>
      <c r="H67" s="3" t="s">
        <v>20</v>
      </c>
      <c r="I67" s="3" t="s">
        <v>20</v>
      </c>
      <c r="J67" s="3" t="s">
        <v>20</v>
      </c>
      <c r="K67" s="3" t="s">
        <v>20</v>
      </c>
      <c r="L67" s="2" t="s">
        <v>208</v>
      </c>
      <c r="O67" s="3" t="b">
        <v>0</v>
      </c>
    </row>
    <row r="68" spans="1:15" ht="18.75" customHeight="1" x14ac:dyDescent="0.25">
      <c r="A68" s="1" t="s">
        <v>65</v>
      </c>
      <c r="B68" s="1" t="s">
        <v>209</v>
      </c>
      <c r="C68" s="1" t="s">
        <v>210</v>
      </c>
      <c r="D68" s="1" t="s">
        <v>211</v>
      </c>
      <c r="E68" s="4">
        <v>16</v>
      </c>
      <c r="F68" s="1" t="s">
        <v>119</v>
      </c>
      <c r="G68" s="5" t="s">
        <v>20</v>
      </c>
      <c r="H68" s="5" t="s">
        <v>20</v>
      </c>
      <c r="I68" s="5" t="s">
        <v>20</v>
      </c>
      <c r="J68" s="5" t="s">
        <v>20</v>
      </c>
      <c r="K68" s="5" t="s">
        <v>20</v>
      </c>
      <c r="L68" s="2"/>
      <c r="N68" s="3" t="s">
        <v>212</v>
      </c>
      <c r="O68" s="3" t="b">
        <v>1</v>
      </c>
    </row>
    <row r="69" spans="1:15" ht="18.75" customHeight="1" x14ac:dyDescent="0.25">
      <c r="A69" s="1" t="s">
        <v>43</v>
      </c>
      <c r="B69" s="8" t="s">
        <v>110</v>
      </c>
      <c r="C69" s="10"/>
      <c r="D69" s="10" t="s">
        <v>213</v>
      </c>
      <c r="E69" s="6">
        <v>129</v>
      </c>
      <c r="F69" s="3" t="s">
        <v>176</v>
      </c>
      <c r="G69" s="3" t="s">
        <v>19</v>
      </c>
      <c r="H69" s="3" t="s">
        <v>20</v>
      </c>
      <c r="I69" s="3" t="s">
        <v>19</v>
      </c>
      <c r="J69" s="3" t="s">
        <v>20</v>
      </c>
      <c r="K69" s="3" t="s">
        <v>20</v>
      </c>
      <c r="L69" s="2" t="s">
        <v>214</v>
      </c>
      <c r="M69" s="3" t="s">
        <v>215</v>
      </c>
      <c r="O69" s="3" t="b">
        <v>0</v>
      </c>
    </row>
    <row r="70" spans="1:15" ht="18.75" customHeight="1" x14ac:dyDescent="0.25">
      <c r="A70" s="1" t="s">
        <v>35</v>
      </c>
      <c r="B70" s="3" t="s">
        <v>36</v>
      </c>
      <c r="C70" s="3"/>
      <c r="D70" s="3" t="s">
        <v>216</v>
      </c>
      <c r="E70" s="6">
        <v>96</v>
      </c>
      <c r="F70" s="1" t="s">
        <v>38</v>
      </c>
      <c r="G70" s="5" t="s">
        <v>19</v>
      </c>
      <c r="H70" s="5" t="s">
        <v>20</v>
      </c>
      <c r="I70" s="5" t="s">
        <v>20</v>
      </c>
      <c r="J70" s="5" t="s">
        <v>20</v>
      </c>
      <c r="K70" s="5" t="s">
        <v>19</v>
      </c>
      <c r="L70" s="2"/>
      <c r="M70" s="3" t="s">
        <v>217</v>
      </c>
      <c r="N70" s="3" t="s">
        <v>218</v>
      </c>
      <c r="O70" s="3" t="b">
        <v>1</v>
      </c>
    </row>
    <row r="71" spans="1:15" ht="18.75" customHeight="1" x14ac:dyDescent="0.25">
      <c r="A71" s="1" t="s">
        <v>14</v>
      </c>
      <c r="B71" s="5" t="s">
        <v>51</v>
      </c>
      <c r="C71" s="5"/>
      <c r="D71" s="5" t="s">
        <v>219</v>
      </c>
      <c r="E71" s="7">
        <v>87</v>
      </c>
      <c r="F71" s="1" t="s">
        <v>112</v>
      </c>
      <c r="G71" s="3" t="s">
        <v>20</v>
      </c>
      <c r="H71" s="3" t="s">
        <v>20</v>
      </c>
      <c r="I71" s="3" t="s">
        <v>20</v>
      </c>
      <c r="J71" s="3" t="s">
        <v>20</v>
      </c>
      <c r="K71" s="3" t="s">
        <v>46</v>
      </c>
      <c r="L71" s="2"/>
      <c r="O71" s="3" t="b">
        <v>1</v>
      </c>
    </row>
    <row r="72" spans="1:15" ht="18.75" customHeight="1" x14ac:dyDescent="0.25">
      <c r="A72" s="1" t="s">
        <v>35</v>
      </c>
      <c r="B72" s="3" t="s">
        <v>136</v>
      </c>
      <c r="C72" s="3"/>
      <c r="D72" s="3" t="s">
        <v>220</v>
      </c>
      <c r="E72" s="6">
        <v>97</v>
      </c>
      <c r="F72" s="1" t="s">
        <v>38</v>
      </c>
      <c r="G72" s="5" t="s">
        <v>19</v>
      </c>
      <c r="H72" s="5" t="s">
        <v>20</v>
      </c>
      <c r="I72" s="5" t="s">
        <v>19</v>
      </c>
      <c r="J72" s="5" t="s">
        <v>20</v>
      </c>
      <c r="K72" s="5" t="s">
        <v>19</v>
      </c>
      <c r="L72" s="2"/>
      <c r="M72" s="3" t="s">
        <v>221</v>
      </c>
      <c r="N72" s="3" t="s">
        <v>222</v>
      </c>
      <c r="O72" s="3" t="b">
        <v>1</v>
      </c>
    </row>
    <row r="73" spans="1:15" ht="18.75" customHeight="1" x14ac:dyDescent="0.25">
      <c r="A73" s="1" t="s">
        <v>65</v>
      </c>
      <c r="B73" s="8" t="s">
        <v>154</v>
      </c>
      <c r="C73" s="3"/>
      <c r="D73" s="3" t="s">
        <v>223</v>
      </c>
      <c r="E73" s="6">
        <v>133</v>
      </c>
      <c r="F73" s="3" t="s">
        <v>156</v>
      </c>
      <c r="G73" s="3" t="s">
        <v>19</v>
      </c>
      <c r="H73" s="3" t="s">
        <v>19</v>
      </c>
      <c r="I73" s="3" t="s">
        <v>19</v>
      </c>
      <c r="J73" s="3" t="s">
        <v>20</v>
      </c>
      <c r="K73" s="3" t="s">
        <v>19</v>
      </c>
      <c r="L73" s="2" t="s">
        <v>224</v>
      </c>
      <c r="M73" s="2" t="s">
        <v>225</v>
      </c>
      <c r="O73" s="3" t="b">
        <v>0</v>
      </c>
    </row>
    <row r="74" spans="1:15" ht="18.75" customHeight="1" x14ac:dyDescent="0.25">
      <c r="A74" s="1" t="s">
        <v>14</v>
      </c>
      <c r="B74" s="3" t="s">
        <v>15</v>
      </c>
      <c r="C74" s="3"/>
      <c r="D74" s="3" t="s">
        <v>226</v>
      </c>
      <c r="E74" s="6">
        <v>125</v>
      </c>
      <c r="F74" s="3" t="s">
        <v>73</v>
      </c>
      <c r="G74" s="3" t="s">
        <v>19</v>
      </c>
      <c r="H74" s="3" t="s">
        <v>20</v>
      </c>
      <c r="I74" s="3" t="s">
        <v>20</v>
      </c>
      <c r="J74" s="3" t="s">
        <v>20</v>
      </c>
      <c r="K74" s="3" t="s">
        <v>19</v>
      </c>
      <c r="L74" s="2" t="s">
        <v>227</v>
      </c>
      <c r="N74" s="3" t="s">
        <v>228</v>
      </c>
      <c r="O74" s="3" t="b">
        <v>1</v>
      </c>
    </row>
    <row r="75" spans="1:15" ht="18.75" customHeight="1" x14ac:dyDescent="0.25">
      <c r="A75" s="1" t="s">
        <v>65</v>
      </c>
      <c r="B75" s="1" t="s">
        <v>66</v>
      </c>
      <c r="C75" s="1"/>
      <c r="D75" s="1" t="s">
        <v>229</v>
      </c>
      <c r="E75" s="4">
        <v>18</v>
      </c>
      <c r="F75" s="1" t="s">
        <v>68</v>
      </c>
      <c r="G75" s="3" t="s">
        <v>18</v>
      </c>
      <c r="H75" s="3" t="s">
        <v>20</v>
      </c>
      <c r="I75" s="3" t="s">
        <v>19</v>
      </c>
      <c r="J75" s="3" t="s">
        <v>20</v>
      </c>
      <c r="K75" s="3" t="s">
        <v>20</v>
      </c>
      <c r="L75" s="2"/>
      <c r="M75" s="3" t="s">
        <v>230</v>
      </c>
      <c r="N75" s="3" t="s">
        <v>231</v>
      </c>
      <c r="O75" s="3" t="b">
        <v>0</v>
      </c>
    </row>
    <row r="76" spans="1:15" ht="18.75" customHeight="1" x14ac:dyDescent="0.25">
      <c r="A76" s="1" t="s">
        <v>65</v>
      </c>
      <c r="B76" s="1" t="s">
        <v>98</v>
      </c>
      <c r="C76" s="1"/>
      <c r="D76" s="1" t="s">
        <v>232</v>
      </c>
      <c r="E76" s="7">
        <v>61</v>
      </c>
      <c r="F76" s="1" t="s">
        <v>100</v>
      </c>
      <c r="G76" s="5" t="s">
        <v>20</v>
      </c>
      <c r="H76" s="5" t="s">
        <v>20</v>
      </c>
      <c r="I76" s="5" t="s">
        <v>20</v>
      </c>
      <c r="J76" s="5" t="s">
        <v>20</v>
      </c>
      <c r="K76" s="5" t="s">
        <v>20</v>
      </c>
      <c r="L76" s="2"/>
      <c r="N76" s="3"/>
      <c r="O76" s="3" t="b">
        <v>1</v>
      </c>
    </row>
    <row r="77" spans="1:15" ht="18.75" customHeight="1" x14ac:dyDescent="0.25">
      <c r="A77" s="1" t="s">
        <v>65</v>
      </c>
      <c r="B77" s="1" t="s">
        <v>98</v>
      </c>
      <c r="C77" s="1"/>
      <c r="D77" s="1" t="s">
        <v>233</v>
      </c>
      <c r="E77" s="7">
        <v>63</v>
      </c>
      <c r="F77" s="1" t="s">
        <v>100</v>
      </c>
      <c r="G77" s="3" t="s">
        <v>20</v>
      </c>
      <c r="H77" s="3" t="s">
        <v>20</v>
      </c>
      <c r="I77" s="3" t="s">
        <v>20</v>
      </c>
      <c r="J77" s="3" t="s">
        <v>20</v>
      </c>
      <c r="K77" s="3" t="s">
        <v>20</v>
      </c>
      <c r="L77" s="2" t="s">
        <v>234</v>
      </c>
      <c r="M77" s="2" t="s">
        <v>235</v>
      </c>
      <c r="N77" s="3" t="s">
        <v>236</v>
      </c>
      <c r="O77" s="3" t="b">
        <v>1</v>
      </c>
    </row>
    <row r="78" spans="1:15" ht="18.75" customHeight="1" x14ac:dyDescent="0.25">
      <c r="A78" s="1" t="s">
        <v>65</v>
      </c>
      <c r="B78" s="1" t="s">
        <v>98</v>
      </c>
      <c r="C78" s="1"/>
      <c r="D78" s="1" t="s">
        <v>237</v>
      </c>
      <c r="E78" s="7">
        <v>67</v>
      </c>
      <c r="F78" s="1" t="s">
        <v>100</v>
      </c>
      <c r="G78" s="3" t="s">
        <v>20</v>
      </c>
      <c r="H78" s="3" t="s">
        <v>20</v>
      </c>
      <c r="I78" s="3" t="s">
        <v>20</v>
      </c>
      <c r="J78" s="3" t="s">
        <v>20</v>
      </c>
      <c r="K78" s="3" t="s">
        <v>20</v>
      </c>
      <c r="L78" s="2"/>
      <c r="N78" s="3" t="s">
        <v>238</v>
      </c>
      <c r="O78" s="3" t="b">
        <v>1</v>
      </c>
    </row>
    <row r="79" spans="1:15" ht="18.75" customHeight="1" x14ac:dyDescent="0.25">
      <c r="A79" s="1" t="s">
        <v>65</v>
      </c>
      <c r="B79" s="1" t="s">
        <v>98</v>
      </c>
      <c r="C79" s="1"/>
      <c r="D79" s="1" t="s">
        <v>239</v>
      </c>
      <c r="E79" s="7">
        <v>64</v>
      </c>
      <c r="F79" s="1" t="s">
        <v>100</v>
      </c>
      <c r="G79" s="3" t="s">
        <v>20</v>
      </c>
      <c r="H79" s="3" t="s">
        <v>20</v>
      </c>
      <c r="I79" s="3" t="s">
        <v>20</v>
      </c>
      <c r="J79" s="3" t="s">
        <v>20</v>
      </c>
      <c r="K79" s="3" t="s">
        <v>20</v>
      </c>
      <c r="L79" s="2" t="s">
        <v>240</v>
      </c>
      <c r="M79" s="2" t="s">
        <v>241</v>
      </c>
      <c r="N79" s="3" t="s">
        <v>242</v>
      </c>
      <c r="O79" s="3" t="b">
        <v>1</v>
      </c>
    </row>
    <row r="80" spans="1:15" ht="18.75" customHeight="1" x14ac:dyDescent="0.25">
      <c r="A80" s="1" t="s">
        <v>65</v>
      </c>
      <c r="B80" s="8" t="s">
        <v>154</v>
      </c>
      <c r="C80" s="3"/>
      <c r="D80" s="3" t="s">
        <v>243</v>
      </c>
      <c r="E80" s="6">
        <v>134</v>
      </c>
      <c r="F80" s="3" t="s">
        <v>156</v>
      </c>
      <c r="G80" s="3" t="s">
        <v>19</v>
      </c>
      <c r="H80" s="3" t="s">
        <v>19</v>
      </c>
      <c r="I80" s="3" t="s">
        <v>19</v>
      </c>
      <c r="J80" s="3" t="s">
        <v>19</v>
      </c>
      <c r="K80" s="3" t="s">
        <v>19</v>
      </c>
      <c r="L80" s="2" t="s">
        <v>244</v>
      </c>
      <c r="M80" s="2" t="s">
        <v>245</v>
      </c>
      <c r="O80" s="3" t="b">
        <v>0</v>
      </c>
    </row>
    <row r="81" spans="1:15" ht="18.75" customHeight="1" x14ac:dyDescent="0.25">
      <c r="A81" s="1" t="s">
        <v>24</v>
      </c>
      <c r="B81" s="1" t="s">
        <v>117</v>
      </c>
      <c r="C81" s="1" t="s">
        <v>117</v>
      </c>
      <c r="D81" s="1" t="s">
        <v>246</v>
      </c>
      <c r="E81" s="4">
        <v>32</v>
      </c>
      <c r="F81" s="1" t="s">
        <v>119</v>
      </c>
      <c r="G81" s="5" t="s">
        <v>20</v>
      </c>
      <c r="H81" s="5" t="s">
        <v>20</v>
      </c>
      <c r="I81" s="5" t="s">
        <v>20</v>
      </c>
      <c r="J81" s="5" t="s">
        <v>20</v>
      </c>
      <c r="K81" s="5" t="s">
        <v>20</v>
      </c>
      <c r="L81" s="2"/>
      <c r="N81" s="3" t="s">
        <v>153</v>
      </c>
      <c r="O81" s="3" t="b">
        <v>1</v>
      </c>
    </row>
    <row r="82" spans="1:15" ht="18.75" customHeight="1" x14ac:dyDescent="0.25">
      <c r="A82" s="1" t="s">
        <v>65</v>
      </c>
      <c r="B82" s="3" t="s">
        <v>247</v>
      </c>
      <c r="C82" s="3"/>
      <c r="D82" s="3" t="s">
        <v>248</v>
      </c>
      <c r="E82" s="6">
        <v>122</v>
      </c>
      <c r="F82" s="3" t="s">
        <v>73</v>
      </c>
      <c r="G82" s="3" t="s">
        <v>20</v>
      </c>
      <c r="H82" s="3" t="s">
        <v>20</v>
      </c>
      <c r="I82" s="3" t="s">
        <v>20</v>
      </c>
      <c r="J82" s="3" t="s">
        <v>20</v>
      </c>
      <c r="K82" s="3" t="s">
        <v>20</v>
      </c>
      <c r="L82" s="2"/>
      <c r="O82" s="3" t="b">
        <v>0</v>
      </c>
    </row>
    <row r="83" spans="1:15" ht="18.75" customHeight="1" x14ac:dyDescent="0.25">
      <c r="A83" s="1" t="s">
        <v>24</v>
      </c>
      <c r="B83" s="3" t="s">
        <v>25</v>
      </c>
      <c r="C83" s="3"/>
      <c r="D83" s="3" t="s">
        <v>249</v>
      </c>
      <c r="E83" s="6">
        <v>131</v>
      </c>
      <c r="F83" s="3" t="s">
        <v>87</v>
      </c>
      <c r="G83" s="3" t="s">
        <v>19</v>
      </c>
      <c r="H83" s="3" t="s">
        <v>20</v>
      </c>
      <c r="I83" s="3" t="s">
        <v>20</v>
      </c>
      <c r="J83" s="3" t="s">
        <v>19</v>
      </c>
      <c r="K83" s="3" t="s">
        <v>20</v>
      </c>
      <c r="L83" s="2"/>
      <c r="O83" s="3" t="b">
        <v>0</v>
      </c>
    </row>
    <row r="84" spans="1:15" ht="18.75" customHeight="1" x14ac:dyDescent="0.25">
      <c r="A84" s="1" t="s">
        <v>14</v>
      </c>
      <c r="B84" s="5" t="s">
        <v>51</v>
      </c>
      <c r="C84" s="5"/>
      <c r="D84" s="5" t="s">
        <v>250</v>
      </c>
      <c r="E84" s="7">
        <v>83</v>
      </c>
      <c r="F84" s="1" t="s">
        <v>112</v>
      </c>
      <c r="G84" s="3" t="s">
        <v>20</v>
      </c>
      <c r="H84" s="3" t="s">
        <v>19</v>
      </c>
      <c r="I84" s="3" t="s">
        <v>20</v>
      </c>
      <c r="J84" s="3" t="s">
        <v>20</v>
      </c>
      <c r="K84" s="3" t="s">
        <v>46</v>
      </c>
      <c r="L84" s="2" t="s">
        <v>251</v>
      </c>
      <c r="O84" s="3" t="b">
        <v>1</v>
      </c>
    </row>
    <row r="85" spans="1:15" ht="18.75" customHeight="1" x14ac:dyDescent="0.25">
      <c r="A85" s="1" t="s">
        <v>14</v>
      </c>
      <c r="B85" s="5" t="s">
        <v>51</v>
      </c>
      <c r="C85" s="5"/>
      <c r="D85" s="5" t="s">
        <v>252</v>
      </c>
      <c r="E85" s="7">
        <v>82</v>
      </c>
      <c r="F85" s="1" t="s">
        <v>112</v>
      </c>
      <c r="G85" s="3" t="s">
        <v>19</v>
      </c>
      <c r="H85" s="3" t="s">
        <v>20</v>
      </c>
      <c r="I85" s="3" t="s">
        <v>20</v>
      </c>
      <c r="J85" s="3" t="s">
        <v>20</v>
      </c>
      <c r="K85" s="3" t="s">
        <v>46</v>
      </c>
      <c r="L85" s="2" t="s">
        <v>253</v>
      </c>
      <c r="O85" s="3" t="b">
        <v>1</v>
      </c>
    </row>
    <row r="86" spans="1:15" ht="18.75" customHeight="1" x14ac:dyDescent="0.25">
      <c r="A86" s="1" t="s">
        <v>14</v>
      </c>
      <c r="B86" s="5" t="s">
        <v>51</v>
      </c>
      <c r="C86" s="5"/>
      <c r="D86" s="5" t="s">
        <v>254</v>
      </c>
      <c r="E86" s="7">
        <v>84</v>
      </c>
      <c r="F86" s="1" t="s">
        <v>112</v>
      </c>
      <c r="G86" s="3" t="s">
        <v>19</v>
      </c>
      <c r="H86" s="3" t="s">
        <v>19</v>
      </c>
      <c r="I86" s="3" t="s">
        <v>20</v>
      </c>
      <c r="J86" s="3" t="s">
        <v>19</v>
      </c>
      <c r="K86" s="3" t="s">
        <v>46</v>
      </c>
      <c r="L86" s="2" t="s">
        <v>255</v>
      </c>
      <c r="O86" s="3" t="b">
        <v>1</v>
      </c>
    </row>
    <row r="87" spans="1:15" ht="18.75" customHeight="1" x14ac:dyDescent="0.25">
      <c r="A87" s="1" t="s">
        <v>14</v>
      </c>
      <c r="B87" s="3" t="s">
        <v>15</v>
      </c>
      <c r="C87" s="3"/>
      <c r="D87" s="3" t="s">
        <v>256</v>
      </c>
      <c r="E87" s="6">
        <v>136</v>
      </c>
      <c r="F87" s="3" t="s">
        <v>156</v>
      </c>
      <c r="G87" s="3" t="s">
        <v>20</v>
      </c>
      <c r="H87" s="3" t="s">
        <v>20</v>
      </c>
      <c r="I87" s="3" t="s">
        <v>20</v>
      </c>
      <c r="J87" s="3" t="s">
        <v>20</v>
      </c>
      <c r="K87" s="3" t="s">
        <v>20</v>
      </c>
      <c r="L87" s="2"/>
      <c r="O87" s="3" t="b">
        <v>0</v>
      </c>
    </row>
    <row r="88" spans="1:15" ht="18.75" customHeight="1" x14ac:dyDescent="0.25">
      <c r="A88" s="1" t="s">
        <v>65</v>
      </c>
      <c r="B88" s="1" t="s">
        <v>107</v>
      </c>
      <c r="C88" s="1"/>
      <c r="D88" s="1" t="s">
        <v>257</v>
      </c>
      <c r="E88" s="4">
        <v>22</v>
      </c>
      <c r="F88" s="1" t="s">
        <v>90</v>
      </c>
      <c r="G88" s="5" t="s">
        <v>20</v>
      </c>
      <c r="H88" s="5" t="s">
        <v>20</v>
      </c>
      <c r="I88" s="5" t="s">
        <v>20</v>
      </c>
      <c r="J88" s="5" t="s">
        <v>19</v>
      </c>
      <c r="K88" s="5" t="s">
        <v>20</v>
      </c>
      <c r="L88" s="2" t="s">
        <v>258</v>
      </c>
      <c r="N88" s="3" t="s">
        <v>259</v>
      </c>
      <c r="O88" s="3" t="b">
        <v>1</v>
      </c>
    </row>
    <row r="89" spans="1:15" ht="18.75" customHeight="1" x14ac:dyDescent="0.25">
      <c r="A89" s="1" t="s">
        <v>24</v>
      </c>
      <c r="B89" s="1" t="s">
        <v>117</v>
      </c>
      <c r="C89" s="1"/>
      <c r="D89" s="1" t="s">
        <v>260</v>
      </c>
      <c r="E89" s="7">
        <v>1</v>
      </c>
      <c r="F89" s="1" t="s">
        <v>59</v>
      </c>
      <c r="G89" s="3" t="s">
        <v>20</v>
      </c>
      <c r="H89" s="3" t="s">
        <v>20</v>
      </c>
      <c r="I89" s="3" t="s">
        <v>20</v>
      </c>
      <c r="J89" s="3" t="s">
        <v>20</v>
      </c>
      <c r="K89" s="3" t="s">
        <v>20</v>
      </c>
      <c r="L89" s="2" t="s">
        <v>261</v>
      </c>
      <c r="O89" s="3" t="b">
        <v>0</v>
      </c>
    </row>
    <row r="90" spans="1:15" ht="18.75" customHeight="1" x14ac:dyDescent="0.25">
      <c r="A90" s="1" t="s">
        <v>65</v>
      </c>
      <c r="B90" s="1" t="s">
        <v>209</v>
      </c>
      <c r="C90" s="1" t="s">
        <v>209</v>
      </c>
      <c r="D90" s="1" t="s">
        <v>262</v>
      </c>
      <c r="E90" s="4">
        <v>17</v>
      </c>
      <c r="F90" s="1" t="s">
        <v>119</v>
      </c>
      <c r="G90" s="5" t="s">
        <v>46</v>
      </c>
      <c r="H90" s="5" t="s">
        <v>20</v>
      </c>
      <c r="I90" s="5" t="s">
        <v>46</v>
      </c>
      <c r="J90" s="5" t="s">
        <v>20</v>
      </c>
      <c r="K90" s="5" t="s">
        <v>20</v>
      </c>
      <c r="L90" s="2"/>
      <c r="N90" s="3" t="s">
        <v>263</v>
      </c>
      <c r="O90" s="3" t="b">
        <v>1</v>
      </c>
    </row>
    <row r="91" spans="1:15" ht="18.75" customHeight="1" x14ac:dyDescent="0.25">
      <c r="A91" s="1" t="s">
        <v>14</v>
      </c>
      <c r="B91" s="3" t="s">
        <v>15</v>
      </c>
      <c r="C91" s="3"/>
      <c r="D91" s="3" t="s">
        <v>264</v>
      </c>
      <c r="E91" s="6">
        <v>101</v>
      </c>
      <c r="F91" s="1" t="s">
        <v>17</v>
      </c>
      <c r="G91" s="5" t="s">
        <v>19</v>
      </c>
      <c r="H91" s="5" t="s">
        <v>19</v>
      </c>
      <c r="I91" s="5" t="s">
        <v>19</v>
      </c>
      <c r="J91" s="5" t="s">
        <v>20</v>
      </c>
      <c r="K91" s="5" t="s">
        <v>20</v>
      </c>
      <c r="L91" s="2" t="s">
        <v>265</v>
      </c>
      <c r="N91" s="3" t="s">
        <v>28</v>
      </c>
      <c r="O91" s="3" t="b">
        <v>1</v>
      </c>
    </row>
    <row r="92" spans="1:15" ht="18.75" customHeight="1" x14ac:dyDescent="0.25">
      <c r="A92" s="1" t="s">
        <v>14</v>
      </c>
      <c r="B92" s="3" t="s">
        <v>15</v>
      </c>
      <c r="C92" s="3"/>
      <c r="D92" s="3" t="s">
        <v>266</v>
      </c>
      <c r="E92" s="6">
        <v>109</v>
      </c>
      <c r="F92" s="1" t="s">
        <v>267</v>
      </c>
      <c r="G92" s="5" t="s">
        <v>19</v>
      </c>
      <c r="H92" s="5" t="s">
        <v>20</v>
      </c>
      <c r="I92" s="5" t="s">
        <v>19</v>
      </c>
      <c r="J92" s="5" t="s">
        <v>20</v>
      </c>
      <c r="K92" s="5" t="s">
        <v>19</v>
      </c>
      <c r="L92" s="2" t="s">
        <v>268</v>
      </c>
      <c r="M92" s="3" t="s">
        <v>269</v>
      </c>
      <c r="N92" s="3" t="s">
        <v>270</v>
      </c>
      <c r="O92" s="3" t="b">
        <v>1</v>
      </c>
    </row>
    <row r="93" spans="1:15" ht="18.75" customHeight="1" x14ac:dyDescent="0.25">
      <c r="A93" s="1" t="s">
        <v>65</v>
      </c>
      <c r="B93" s="3" t="s">
        <v>247</v>
      </c>
      <c r="C93" s="3"/>
      <c r="D93" s="3" t="s">
        <v>271</v>
      </c>
      <c r="E93" s="6">
        <v>123</v>
      </c>
      <c r="F93" s="3" t="s">
        <v>73</v>
      </c>
      <c r="G93" s="3" t="s">
        <v>46</v>
      </c>
      <c r="H93" s="3" t="s">
        <v>19</v>
      </c>
      <c r="I93" s="3" t="s">
        <v>18</v>
      </c>
      <c r="J93" s="3" t="s">
        <v>19</v>
      </c>
      <c r="K93" s="3" t="s">
        <v>19</v>
      </c>
      <c r="L93" s="2" t="s">
        <v>272</v>
      </c>
      <c r="N93" s="3" t="s">
        <v>228</v>
      </c>
      <c r="O93" s="3" t="b">
        <v>1</v>
      </c>
    </row>
    <row r="94" spans="1:15" ht="18.75" customHeight="1" x14ac:dyDescent="0.25">
      <c r="A94" s="1" t="s">
        <v>65</v>
      </c>
      <c r="B94" s="3" t="s">
        <v>247</v>
      </c>
      <c r="C94" s="3"/>
      <c r="D94" s="3" t="s">
        <v>273</v>
      </c>
      <c r="E94" s="6">
        <v>128</v>
      </c>
      <c r="F94" s="3" t="s">
        <v>156</v>
      </c>
      <c r="G94" s="3" t="s">
        <v>18</v>
      </c>
      <c r="H94" s="3" t="s">
        <v>20</v>
      </c>
      <c r="I94" s="3" t="s">
        <v>20</v>
      </c>
      <c r="J94" s="3" t="s">
        <v>20</v>
      </c>
      <c r="K94" s="3" t="s">
        <v>20</v>
      </c>
      <c r="L94" s="2" t="s">
        <v>274</v>
      </c>
      <c r="M94" s="2" t="s">
        <v>275</v>
      </c>
      <c r="O94" s="3" t="b">
        <v>0</v>
      </c>
    </row>
    <row r="95" spans="1:15" ht="18.75" customHeight="1" x14ac:dyDescent="0.25">
      <c r="A95" s="1" t="s">
        <v>35</v>
      </c>
      <c r="B95" s="3" t="s">
        <v>36</v>
      </c>
      <c r="C95" s="3"/>
      <c r="D95" s="3" t="s">
        <v>276</v>
      </c>
      <c r="E95" s="6">
        <v>95</v>
      </c>
      <c r="F95" s="1" t="s">
        <v>38</v>
      </c>
      <c r="G95" s="5" t="s">
        <v>19</v>
      </c>
      <c r="H95" s="5" t="s">
        <v>20</v>
      </c>
      <c r="I95" s="5" t="s">
        <v>19</v>
      </c>
      <c r="J95" s="5" t="s">
        <v>20</v>
      </c>
      <c r="K95" s="5" t="s">
        <v>20</v>
      </c>
      <c r="L95" s="2"/>
      <c r="M95" s="3" t="s">
        <v>277</v>
      </c>
      <c r="N95" s="3" t="s">
        <v>278</v>
      </c>
      <c r="O95" s="3" t="b">
        <v>1</v>
      </c>
    </row>
    <row r="96" spans="1:15" ht="18.75" customHeight="1" x14ac:dyDescent="0.25">
      <c r="A96" s="1" t="s">
        <v>65</v>
      </c>
      <c r="B96" s="1" t="s">
        <v>98</v>
      </c>
      <c r="C96" s="1"/>
      <c r="D96" s="1" t="s">
        <v>279</v>
      </c>
      <c r="E96" s="7">
        <v>43</v>
      </c>
      <c r="F96" s="1" t="s">
        <v>100</v>
      </c>
      <c r="G96" s="3" t="s">
        <v>20</v>
      </c>
      <c r="H96" s="3" t="s">
        <v>20</v>
      </c>
      <c r="I96" s="3" t="s">
        <v>20</v>
      </c>
      <c r="J96" s="3" t="s">
        <v>20</v>
      </c>
      <c r="K96" s="3" t="s">
        <v>20</v>
      </c>
      <c r="L96" s="2" t="s">
        <v>280</v>
      </c>
      <c r="M96" s="2" t="s">
        <v>281</v>
      </c>
      <c r="N96" s="3" t="s">
        <v>282</v>
      </c>
      <c r="O96" s="3" t="b">
        <v>1</v>
      </c>
    </row>
    <row r="97" spans="1:15" ht="18.75" customHeight="1" x14ac:dyDescent="0.25">
      <c r="A97" s="1" t="s">
        <v>14</v>
      </c>
      <c r="B97" s="3" t="s">
        <v>15</v>
      </c>
      <c r="C97" s="3"/>
      <c r="D97" s="3" t="s">
        <v>283</v>
      </c>
      <c r="E97" s="6">
        <v>103</v>
      </c>
      <c r="F97" s="1" t="s">
        <v>17</v>
      </c>
      <c r="G97" s="5" t="s">
        <v>19</v>
      </c>
      <c r="H97" s="5" t="s">
        <v>20</v>
      </c>
      <c r="I97" s="5" t="s">
        <v>19</v>
      </c>
      <c r="J97" s="5" t="s">
        <v>20</v>
      </c>
      <c r="K97" s="5" t="s">
        <v>20</v>
      </c>
      <c r="L97" s="2" t="s">
        <v>284</v>
      </c>
      <c r="M97" s="3" t="s">
        <v>285</v>
      </c>
      <c r="N97" s="3" t="s">
        <v>286</v>
      </c>
      <c r="O97" s="3" t="b">
        <v>1</v>
      </c>
    </row>
    <row r="98" spans="1:15" ht="18.75" customHeight="1" x14ac:dyDescent="0.25">
      <c r="A98" s="1" t="s">
        <v>65</v>
      </c>
      <c r="B98" s="3" t="s">
        <v>98</v>
      </c>
      <c r="D98" s="3" t="s">
        <v>287</v>
      </c>
      <c r="E98" s="6">
        <v>66</v>
      </c>
      <c r="F98" s="3" t="s">
        <v>100</v>
      </c>
      <c r="G98" s="3" t="s">
        <v>20</v>
      </c>
      <c r="H98" s="3" t="s">
        <v>20</v>
      </c>
      <c r="I98" s="3" t="s">
        <v>20</v>
      </c>
      <c r="J98" s="3" t="s">
        <v>20</v>
      </c>
      <c r="K98" s="3" t="s">
        <v>20</v>
      </c>
      <c r="L98" s="2"/>
    </row>
    <row r="99" spans="1:15" ht="18.75" customHeight="1" x14ac:dyDescent="0.25">
      <c r="A99" s="1" t="s">
        <v>65</v>
      </c>
      <c r="B99" s="3" t="s">
        <v>98</v>
      </c>
      <c r="D99" s="3" t="s">
        <v>288</v>
      </c>
      <c r="E99" s="6">
        <v>77</v>
      </c>
      <c r="F99" s="3" t="s">
        <v>100</v>
      </c>
      <c r="G99" s="3" t="s">
        <v>20</v>
      </c>
      <c r="H99" s="3" t="s">
        <v>20</v>
      </c>
      <c r="I99" s="3" t="s">
        <v>20</v>
      </c>
      <c r="J99" s="3" t="s">
        <v>20</v>
      </c>
      <c r="K99" s="3" t="s">
        <v>20</v>
      </c>
      <c r="L99" s="2"/>
    </row>
    <row r="100" spans="1:15" ht="18.75" customHeight="1" x14ac:dyDescent="0.25">
      <c r="A100" s="1" t="s">
        <v>65</v>
      </c>
      <c r="B100" s="3" t="s">
        <v>247</v>
      </c>
      <c r="C100" s="3"/>
      <c r="D100" s="3" t="s">
        <v>289</v>
      </c>
      <c r="E100" s="6">
        <v>120</v>
      </c>
      <c r="F100" s="3" t="s">
        <v>73</v>
      </c>
      <c r="G100" s="3" t="s">
        <v>19</v>
      </c>
      <c r="H100" s="3" t="s">
        <v>20</v>
      </c>
      <c r="I100" s="3" t="s">
        <v>19</v>
      </c>
      <c r="J100" s="3" t="s">
        <v>20</v>
      </c>
      <c r="K100" s="3" t="s">
        <v>19</v>
      </c>
      <c r="L100" s="2" t="s">
        <v>290</v>
      </c>
      <c r="O100" s="3" t="b">
        <v>0</v>
      </c>
    </row>
    <row r="101" spans="1:15" ht="18.75" customHeight="1" x14ac:dyDescent="0.25">
      <c r="A101" s="1" t="s">
        <v>65</v>
      </c>
      <c r="B101" s="3" t="s">
        <v>247</v>
      </c>
      <c r="C101" s="3"/>
      <c r="D101" s="3" t="s">
        <v>291</v>
      </c>
      <c r="E101" s="6">
        <v>132</v>
      </c>
      <c r="F101" s="3" t="s">
        <v>156</v>
      </c>
      <c r="G101" s="3" t="s">
        <v>20</v>
      </c>
      <c r="H101" s="3" t="s">
        <v>20</v>
      </c>
      <c r="I101" s="3" t="s">
        <v>20</v>
      </c>
      <c r="J101" s="3" t="s">
        <v>20</v>
      </c>
      <c r="K101" s="3" t="s">
        <v>20</v>
      </c>
      <c r="L101" s="2"/>
      <c r="O101" s="3" t="b">
        <v>0</v>
      </c>
    </row>
    <row r="102" spans="1:15" ht="18.75" customHeight="1" x14ac:dyDescent="0.25">
      <c r="A102" s="1" t="s">
        <v>43</v>
      </c>
      <c r="B102" s="3" t="s">
        <v>44</v>
      </c>
      <c r="C102" s="3"/>
      <c r="D102" s="3" t="s">
        <v>292</v>
      </c>
      <c r="E102" s="6">
        <v>114</v>
      </c>
      <c r="F102" s="1" t="s">
        <v>87</v>
      </c>
      <c r="G102" s="3" t="s">
        <v>19</v>
      </c>
      <c r="H102" s="3" t="s">
        <v>19</v>
      </c>
      <c r="I102" s="3" t="s">
        <v>19</v>
      </c>
      <c r="J102" s="3" t="s">
        <v>19</v>
      </c>
      <c r="K102" s="3" t="s">
        <v>19</v>
      </c>
      <c r="L102" s="2"/>
      <c r="O102" s="3" t="b">
        <v>0</v>
      </c>
    </row>
    <row r="103" spans="1:15" ht="18.75" customHeight="1" x14ac:dyDescent="0.25">
      <c r="A103" s="1" t="s">
        <v>65</v>
      </c>
      <c r="B103" s="1" t="s">
        <v>107</v>
      </c>
      <c r="C103" s="1"/>
      <c r="D103" s="1" t="s">
        <v>293</v>
      </c>
      <c r="E103" s="4">
        <v>25</v>
      </c>
      <c r="F103" s="1" t="s">
        <v>90</v>
      </c>
      <c r="G103" s="5" t="s">
        <v>19</v>
      </c>
      <c r="H103" s="5" t="s">
        <v>19</v>
      </c>
      <c r="I103" s="5" t="s">
        <v>20</v>
      </c>
      <c r="J103" s="5" t="s">
        <v>19</v>
      </c>
      <c r="K103" s="5" t="s">
        <v>19</v>
      </c>
      <c r="L103" s="2" t="s">
        <v>294</v>
      </c>
      <c r="N103" s="3" t="s">
        <v>263</v>
      </c>
      <c r="O103" s="3" t="b">
        <v>1</v>
      </c>
    </row>
    <row r="104" spans="1:15" ht="18.75" customHeight="1" x14ac:dyDescent="0.2">
      <c r="L104" s="2"/>
    </row>
    <row r="105" spans="1:15" ht="18.75" customHeight="1" x14ac:dyDescent="0.2">
      <c r="L105" s="2"/>
    </row>
    <row r="106" spans="1:15" ht="18.75" customHeight="1" x14ac:dyDescent="0.2">
      <c r="L106" s="2"/>
    </row>
    <row r="107" spans="1:15" ht="18.75" customHeight="1" x14ac:dyDescent="0.2">
      <c r="L107" s="2"/>
    </row>
    <row r="108" spans="1:15" ht="18.75" customHeight="1" x14ac:dyDescent="0.2">
      <c r="L108" s="2"/>
    </row>
    <row r="109" spans="1:15" ht="18.75" customHeight="1" x14ac:dyDescent="0.2">
      <c r="L109" s="2"/>
    </row>
    <row r="110" spans="1:15" ht="18.75" customHeight="1" x14ac:dyDescent="0.2">
      <c r="L110" s="2"/>
    </row>
    <row r="111" spans="1:15" ht="18.75" customHeight="1" x14ac:dyDescent="0.2">
      <c r="L111" s="2"/>
    </row>
    <row r="112" spans="1:15" ht="18.75" customHeight="1" x14ac:dyDescent="0.2">
      <c r="L112" s="2"/>
    </row>
    <row r="113" spans="12:12" ht="18.75" customHeight="1" x14ac:dyDescent="0.2">
      <c r="L113" s="2"/>
    </row>
    <row r="114" spans="12:12" ht="18.75" customHeight="1" x14ac:dyDescent="0.2">
      <c r="L114" s="2"/>
    </row>
    <row r="115" spans="12:12" ht="18.75" customHeight="1" x14ac:dyDescent="0.2">
      <c r="L115" s="2"/>
    </row>
    <row r="116" spans="12:12" ht="18.75" customHeight="1" x14ac:dyDescent="0.2">
      <c r="L116" s="2"/>
    </row>
    <row r="117" spans="12:12" ht="18.75" customHeight="1" x14ac:dyDescent="0.2">
      <c r="L117" s="2"/>
    </row>
    <row r="118" spans="12:12" ht="18.75" customHeight="1" x14ac:dyDescent="0.2">
      <c r="L118" s="2"/>
    </row>
    <row r="119" spans="12:12" ht="18.75" customHeight="1" x14ac:dyDescent="0.2">
      <c r="L119" s="2"/>
    </row>
    <row r="120" spans="12:12" ht="18.75" customHeight="1" x14ac:dyDescent="0.2">
      <c r="L120" s="2"/>
    </row>
    <row r="121" spans="12:12" ht="18.75" customHeight="1" x14ac:dyDescent="0.2">
      <c r="L121" s="2"/>
    </row>
    <row r="122" spans="12:12" ht="18.75" customHeight="1" x14ac:dyDescent="0.2">
      <c r="L122" s="2"/>
    </row>
    <row r="123" spans="12:12" ht="18.75" customHeight="1" x14ac:dyDescent="0.2">
      <c r="L123" s="2"/>
    </row>
    <row r="124" spans="12:12" ht="18.75" customHeight="1" x14ac:dyDescent="0.2">
      <c r="L124" s="2"/>
    </row>
    <row r="125" spans="12:12" ht="18.75" customHeight="1" x14ac:dyDescent="0.2">
      <c r="L125" s="2"/>
    </row>
    <row r="126" spans="12:12" ht="18.75" customHeight="1" x14ac:dyDescent="0.2">
      <c r="L126" s="2"/>
    </row>
    <row r="127" spans="12:12" ht="18.75" customHeight="1" x14ac:dyDescent="0.2">
      <c r="L127" s="2"/>
    </row>
    <row r="128" spans="12:12" ht="18.75" customHeight="1" x14ac:dyDescent="0.2">
      <c r="L128" s="2"/>
    </row>
    <row r="129" spans="12:12" ht="18.75" customHeight="1" x14ac:dyDescent="0.2">
      <c r="L129" s="2"/>
    </row>
    <row r="130" spans="12:12" ht="18.75" customHeight="1" x14ac:dyDescent="0.2">
      <c r="L130" s="2"/>
    </row>
    <row r="131" spans="12:12" ht="18.75" customHeight="1" x14ac:dyDescent="0.2">
      <c r="L131" s="2"/>
    </row>
    <row r="132" spans="12:12" ht="18.75" customHeight="1" x14ac:dyDescent="0.2">
      <c r="L132" s="2"/>
    </row>
    <row r="133" spans="12:12" ht="18.75" customHeight="1" x14ac:dyDescent="0.2">
      <c r="L133" s="2"/>
    </row>
    <row r="134" spans="12:12" ht="18.75" customHeight="1" x14ac:dyDescent="0.2">
      <c r="L134" s="2"/>
    </row>
    <row r="135" spans="12:12" ht="18.75" customHeight="1" x14ac:dyDescent="0.2">
      <c r="L135" s="2"/>
    </row>
    <row r="136" spans="12:12" ht="18.75" customHeight="1" x14ac:dyDescent="0.2">
      <c r="L136" s="2"/>
    </row>
    <row r="137" spans="12:12" ht="18.75" customHeight="1" x14ac:dyDescent="0.2">
      <c r="L137" s="2"/>
    </row>
    <row r="138" spans="12:12" ht="18.75" customHeight="1" x14ac:dyDescent="0.2">
      <c r="L138" s="2"/>
    </row>
    <row r="139" spans="12:12" ht="18.75" customHeight="1" x14ac:dyDescent="0.2">
      <c r="L139" s="2"/>
    </row>
    <row r="140" spans="12:12" ht="18.75" customHeight="1" x14ac:dyDescent="0.2">
      <c r="L140" s="2"/>
    </row>
    <row r="141" spans="12:12" ht="18.75" customHeight="1" x14ac:dyDescent="0.2">
      <c r="L141" s="2"/>
    </row>
    <row r="142" spans="12:12" ht="18.75" customHeight="1" x14ac:dyDescent="0.2">
      <c r="L142" s="2"/>
    </row>
    <row r="143" spans="12:12" ht="18.75" customHeight="1" x14ac:dyDescent="0.2">
      <c r="L143" s="2"/>
    </row>
    <row r="144" spans="12:12" ht="18.75" customHeight="1" x14ac:dyDescent="0.2">
      <c r="L144" s="2"/>
    </row>
    <row r="145" spans="12:12" ht="18.75" customHeight="1" x14ac:dyDescent="0.2">
      <c r="L145" s="2"/>
    </row>
    <row r="146" spans="12:12" ht="18.75" customHeight="1" x14ac:dyDescent="0.2">
      <c r="L146" s="2"/>
    </row>
    <row r="147" spans="12:12" ht="18.75" customHeight="1" x14ac:dyDescent="0.2">
      <c r="L147" s="2"/>
    </row>
    <row r="148" spans="12:12" ht="18.75" customHeight="1" x14ac:dyDescent="0.2">
      <c r="L148" s="2"/>
    </row>
    <row r="149" spans="12:12" ht="18.75" customHeight="1" x14ac:dyDescent="0.2">
      <c r="L149" s="2"/>
    </row>
    <row r="150" spans="12:12" ht="18.75" customHeight="1" x14ac:dyDescent="0.2">
      <c r="L150" s="2"/>
    </row>
    <row r="151" spans="12:12" ht="18.75" customHeight="1" x14ac:dyDescent="0.2">
      <c r="L151" s="2"/>
    </row>
    <row r="152" spans="12:12" ht="18.75" customHeight="1" x14ac:dyDescent="0.2">
      <c r="L152" s="2"/>
    </row>
    <row r="153" spans="12:12" ht="18.75" customHeight="1" x14ac:dyDescent="0.2">
      <c r="L153" s="2"/>
    </row>
    <row r="154" spans="12:12" ht="18.75" customHeight="1" x14ac:dyDescent="0.2">
      <c r="L154" s="2"/>
    </row>
    <row r="155" spans="12:12" ht="18.75" customHeight="1" x14ac:dyDescent="0.2">
      <c r="L155" s="2"/>
    </row>
    <row r="156" spans="12:12" ht="18.75" customHeight="1" x14ac:dyDescent="0.2">
      <c r="L156" s="2"/>
    </row>
    <row r="157" spans="12:12" ht="18.75" customHeight="1" x14ac:dyDescent="0.2">
      <c r="L157" s="2"/>
    </row>
    <row r="158" spans="12:12" ht="18.75" customHeight="1" x14ac:dyDescent="0.2">
      <c r="L158" s="2"/>
    </row>
    <row r="159" spans="12:12" ht="18.75" customHeight="1" x14ac:dyDescent="0.2">
      <c r="L159" s="2"/>
    </row>
    <row r="160" spans="12:12" ht="18.75" customHeight="1" x14ac:dyDescent="0.2">
      <c r="L160" s="2"/>
    </row>
    <row r="161" spans="12:12" ht="18.75" customHeight="1" x14ac:dyDescent="0.2">
      <c r="L161" s="2"/>
    </row>
    <row r="162" spans="12:12" ht="18.75" customHeight="1" x14ac:dyDescent="0.2">
      <c r="L162" s="2"/>
    </row>
    <row r="163" spans="12:12" ht="18.75" customHeight="1" x14ac:dyDescent="0.2">
      <c r="L163" s="2"/>
    </row>
    <row r="164" spans="12:12" ht="18.75" customHeight="1" x14ac:dyDescent="0.2">
      <c r="L164" s="2"/>
    </row>
    <row r="165" spans="12:12" ht="18.75" customHeight="1" x14ac:dyDescent="0.2">
      <c r="L165" s="2"/>
    </row>
    <row r="166" spans="12:12" ht="18.75" customHeight="1" x14ac:dyDescent="0.2">
      <c r="L166" s="2"/>
    </row>
    <row r="167" spans="12:12" ht="18.75" customHeight="1" x14ac:dyDescent="0.2">
      <c r="L167" s="2"/>
    </row>
    <row r="168" spans="12:12" ht="18.75" customHeight="1" x14ac:dyDescent="0.2">
      <c r="L168" s="2"/>
    </row>
    <row r="169" spans="12:12" ht="18.75" customHeight="1" x14ac:dyDescent="0.2">
      <c r="L169" s="2"/>
    </row>
    <row r="170" spans="12:12" ht="18.75" customHeight="1" x14ac:dyDescent="0.2">
      <c r="L170" s="2"/>
    </row>
    <row r="171" spans="12:12" ht="18.75" customHeight="1" x14ac:dyDescent="0.2">
      <c r="L171" s="2"/>
    </row>
    <row r="172" spans="12:12" ht="18.75" customHeight="1" x14ac:dyDescent="0.2">
      <c r="L172" s="2"/>
    </row>
    <row r="173" spans="12:12" ht="18.75" customHeight="1" x14ac:dyDescent="0.2">
      <c r="L173" s="2"/>
    </row>
    <row r="174" spans="12:12" ht="18.75" customHeight="1" x14ac:dyDescent="0.2">
      <c r="L174" s="2"/>
    </row>
    <row r="175" spans="12:12" ht="18.75" customHeight="1" x14ac:dyDescent="0.2">
      <c r="L175" s="2"/>
    </row>
    <row r="176" spans="12:12" ht="18.75" customHeight="1" x14ac:dyDescent="0.2">
      <c r="L176" s="2"/>
    </row>
    <row r="177" spans="12:12" ht="18.75" customHeight="1" x14ac:dyDescent="0.2">
      <c r="L177" s="2"/>
    </row>
    <row r="178" spans="12:12" ht="18.75" customHeight="1" x14ac:dyDescent="0.2">
      <c r="L178" s="2"/>
    </row>
    <row r="179" spans="12:12" ht="18.75" customHeight="1" x14ac:dyDescent="0.2">
      <c r="L179" s="2"/>
    </row>
    <row r="180" spans="12:12" ht="18.75" customHeight="1" x14ac:dyDescent="0.2">
      <c r="L180" s="2"/>
    </row>
    <row r="181" spans="12:12" ht="18.75" customHeight="1" x14ac:dyDescent="0.2">
      <c r="L181" s="2"/>
    </row>
    <row r="182" spans="12:12" ht="18.75" customHeight="1" x14ac:dyDescent="0.2">
      <c r="L182" s="2"/>
    </row>
    <row r="183" spans="12:12" ht="18.75" customHeight="1" x14ac:dyDescent="0.2">
      <c r="L183" s="2"/>
    </row>
    <row r="184" spans="12:12" ht="18.75" customHeight="1" x14ac:dyDescent="0.2">
      <c r="L184" s="2"/>
    </row>
    <row r="185" spans="12:12" ht="18.75" customHeight="1" x14ac:dyDescent="0.2">
      <c r="L185" s="2"/>
    </row>
    <row r="186" spans="12:12" ht="18.75" customHeight="1" x14ac:dyDescent="0.2">
      <c r="L186" s="2"/>
    </row>
    <row r="187" spans="12:12" ht="18.75" customHeight="1" x14ac:dyDescent="0.2">
      <c r="L187" s="2"/>
    </row>
    <row r="188" spans="12:12" ht="18.75" customHeight="1" x14ac:dyDescent="0.2">
      <c r="L188" s="2"/>
    </row>
    <row r="189" spans="12:12" ht="18.75" customHeight="1" x14ac:dyDescent="0.2">
      <c r="L189" s="2"/>
    </row>
    <row r="190" spans="12:12" ht="18.75" customHeight="1" x14ac:dyDescent="0.2">
      <c r="L190" s="2"/>
    </row>
    <row r="191" spans="12:12" ht="18.75" customHeight="1" x14ac:dyDescent="0.2">
      <c r="L191" s="2"/>
    </row>
    <row r="192" spans="12:12" ht="18.75" customHeight="1" x14ac:dyDescent="0.2">
      <c r="L192" s="2"/>
    </row>
    <row r="193" spans="12:12" ht="18.75" customHeight="1" x14ac:dyDescent="0.2">
      <c r="L193" s="2"/>
    </row>
    <row r="194" spans="12:12" ht="18.75" customHeight="1" x14ac:dyDescent="0.2">
      <c r="L194" s="2"/>
    </row>
    <row r="195" spans="12:12" ht="18.75" customHeight="1" x14ac:dyDescent="0.2">
      <c r="L195" s="2"/>
    </row>
    <row r="196" spans="12:12" ht="18.75" customHeight="1" x14ac:dyDescent="0.2">
      <c r="L196" s="2"/>
    </row>
    <row r="197" spans="12:12" ht="18.75" customHeight="1" x14ac:dyDescent="0.2">
      <c r="L197" s="2"/>
    </row>
    <row r="198" spans="12:12" ht="18.75" customHeight="1" x14ac:dyDescent="0.2">
      <c r="L198" s="2"/>
    </row>
    <row r="199" spans="12:12" ht="18.75" customHeight="1" x14ac:dyDescent="0.2">
      <c r="L199" s="2"/>
    </row>
    <row r="200" spans="12:12" ht="18.75" customHeight="1" x14ac:dyDescent="0.2">
      <c r="L200" s="2"/>
    </row>
    <row r="201" spans="12:12" ht="18.75" customHeight="1" x14ac:dyDescent="0.2">
      <c r="L201" s="2"/>
    </row>
    <row r="202" spans="12:12" ht="18.75" customHeight="1" x14ac:dyDescent="0.2">
      <c r="L202" s="2"/>
    </row>
    <row r="203" spans="12:12" ht="18.75" customHeight="1" x14ac:dyDescent="0.2">
      <c r="L203" s="2"/>
    </row>
    <row r="204" spans="12:12" ht="18.75" customHeight="1" x14ac:dyDescent="0.2">
      <c r="L204" s="2"/>
    </row>
    <row r="205" spans="12:12" ht="18.75" customHeight="1" x14ac:dyDescent="0.2">
      <c r="L205" s="2"/>
    </row>
    <row r="206" spans="12:12" ht="18.75" customHeight="1" x14ac:dyDescent="0.2">
      <c r="L206" s="2"/>
    </row>
    <row r="207" spans="12:12" ht="18.75" customHeight="1" x14ac:dyDescent="0.2">
      <c r="L207" s="2"/>
    </row>
    <row r="208" spans="12:12" ht="18.75" customHeight="1" x14ac:dyDescent="0.2">
      <c r="L208" s="2"/>
    </row>
    <row r="209" spans="12:12" ht="18.75" customHeight="1" x14ac:dyDescent="0.2">
      <c r="L209" s="2"/>
    </row>
    <row r="210" spans="12:12" ht="18.75" customHeight="1" x14ac:dyDescent="0.2">
      <c r="L210" s="2"/>
    </row>
    <row r="211" spans="12:12" ht="18.75" customHeight="1" x14ac:dyDescent="0.2">
      <c r="L211" s="2"/>
    </row>
    <row r="212" spans="12:12" ht="18.75" customHeight="1" x14ac:dyDescent="0.2">
      <c r="L212" s="2"/>
    </row>
    <row r="213" spans="12:12" ht="18.75" customHeight="1" x14ac:dyDescent="0.2">
      <c r="L213" s="2"/>
    </row>
    <row r="214" spans="12:12" ht="18.75" customHeight="1" x14ac:dyDescent="0.2">
      <c r="L214" s="2"/>
    </row>
    <row r="215" spans="12:12" ht="18.75" customHeight="1" x14ac:dyDescent="0.2">
      <c r="L215" s="2"/>
    </row>
    <row r="216" spans="12:12" ht="18.75" customHeight="1" x14ac:dyDescent="0.2">
      <c r="L216" s="2"/>
    </row>
    <row r="217" spans="12:12" ht="18.75" customHeight="1" x14ac:dyDescent="0.2">
      <c r="L217" s="2"/>
    </row>
    <row r="218" spans="12:12" ht="18.75" customHeight="1" x14ac:dyDescent="0.2">
      <c r="L218" s="2"/>
    </row>
    <row r="219" spans="12:12" ht="18.75" customHeight="1" x14ac:dyDescent="0.2">
      <c r="L219" s="2"/>
    </row>
    <row r="220" spans="12:12" ht="18.75" customHeight="1" x14ac:dyDescent="0.2">
      <c r="L220" s="2"/>
    </row>
    <row r="221" spans="12:12" ht="18.75" customHeight="1" x14ac:dyDescent="0.2">
      <c r="L221" s="2"/>
    </row>
    <row r="222" spans="12:12" ht="18.75" customHeight="1" x14ac:dyDescent="0.2">
      <c r="L222" s="2"/>
    </row>
    <row r="223" spans="12:12" ht="18.75" customHeight="1" x14ac:dyDescent="0.2">
      <c r="L223" s="2"/>
    </row>
    <row r="224" spans="12:12" ht="18.75" customHeight="1" x14ac:dyDescent="0.2">
      <c r="L224" s="2"/>
    </row>
    <row r="225" spans="12:12" ht="18.75" customHeight="1" x14ac:dyDescent="0.2">
      <c r="L225" s="2"/>
    </row>
    <row r="226" spans="12:12" ht="18.75" customHeight="1" x14ac:dyDescent="0.2">
      <c r="L226" s="2"/>
    </row>
    <row r="227" spans="12:12" ht="18.75" customHeight="1" x14ac:dyDescent="0.2">
      <c r="L227" s="2"/>
    </row>
    <row r="228" spans="12:12" ht="18.75" customHeight="1" x14ac:dyDescent="0.2">
      <c r="L228" s="2"/>
    </row>
    <row r="229" spans="12:12" ht="18.75" customHeight="1" x14ac:dyDescent="0.2">
      <c r="L229" s="2"/>
    </row>
    <row r="230" spans="12:12" ht="18.75" customHeight="1" x14ac:dyDescent="0.2">
      <c r="L230" s="2"/>
    </row>
    <row r="231" spans="12:12" ht="18.75" customHeight="1" x14ac:dyDescent="0.2">
      <c r="L231" s="2"/>
    </row>
    <row r="232" spans="12:12" ht="18.75" customHeight="1" x14ac:dyDescent="0.2">
      <c r="L232" s="2"/>
    </row>
    <row r="233" spans="12:12" ht="18.75" customHeight="1" x14ac:dyDescent="0.2">
      <c r="L233" s="2"/>
    </row>
    <row r="234" spans="12:12" ht="18.75" customHeight="1" x14ac:dyDescent="0.2">
      <c r="L234" s="2"/>
    </row>
    <row r="235" spans="12:12" ht="18.75" customHeight="1" x14ac:dyDescent="0.2">
      <c r="L235" s="2"/>
    </row>
    <row r="236" spans="12:12" ht="18.75" customHeight="1" x14ac:dyDescent="0.2">
      <c r="L236" s="2"/>
    </row>
    <row r="237" spans="12:12" ht="18.75" customHeight="1" x14ac:dyDescent="0.2">
      <c r="L237" s="2"/>
    </row>
    <row r="238" spans="12:12" ht="18.75" customHeight="1" x14ac:dyDescent="0.2">
      <c r="L238" s="2"/>
    </row>
    <row r="239" spans="12:12" ht="18.75" customHeight="1" x14ac:dyDescent="0.2">
      <c r="L239" s="2"/>
    </row>
    <row r="240" spans="12:12" ht="18.75" customHeight="1" x14ac:dyDescent="0.2">
      <c r="L240" s="2"/>
    </row>
    <row r="241" spans="12:12" ht="18.75" customHeight="1" x14ac:dyDescent="0.2">
      <c r="L241" s="2"/>
    </row>
    <row r="242" spans="12:12" ht="18.75" customHeight="1" x14ac:dyDescent="0.2">
      <c r="L242" s="2"/>
    </row>
    <row r="243" spans="12:12" ht="18.75" customHeight="1" x14ac:dyDescent="0.2">
      <c r="L243" s="2"/>
    </row>
    <row r="244" spans="12:12" ht="18.75" customHeight="1" x14ac:dyDescent="0.2">
      <c r="L244" s="2"/>
    </row>
    <row r="245" spans="12:12" ht="18.75" customHeight="1" x14ac:dyDescent="0.2">
      <c r="L245" s="2"/>
    </row>
    <row r="246" spans="12:12" ht="18.75" customHeight="1" x14ac:dyDescent="0.2">
      <c r="L246" s="2"/>
    </row>
    <row r="247" spans="12:12" ht="18.75" customHeight="1" x14ac:dyDescent="0.2">
      <c r="L247" s="2"/>
    </row>
    <row r="248" spans="12:12" ht="18.75" customHeight="1" x14ac:dyDescent="0.2">
      <c r="L248" s="2"/>
    </row>
    <row r="249" spans="12:12" ht="18.75" customHeight="1" x14ac:dyDescent="0.2">
      <c r="L249" s="2"/>
    </row>
    <row r="250" spans="12:12" ht="18.75" customHeight="1" x14ac:dyDescent="0.2">
      <c r="L250" s="2"/>
    </row>
    <row r="251" spans="12:12" ht="18.75" customHeight="1" x14ac:dyDescent="0.2">
      <c r="L251" s="2"/>
    </row>
    <row r="252" spans="12:12" ht="18.75" customHeight="1" x14ac:dyDescent="0.2">
      <c r="L252" s="2"/>
    </row>
    <row r="253" spans="12:12" ht="18.75" customHeight="1" x14ac:dyDescent="0.2">
      <c r="L253" s="2"/>
    </row>
    <row r="254" spans="12:12" ht="18.75" customHeight="1" x14ac:dyDescent="0.2">
      <c r="L254" s="2"/>
    </row>
    <row r="255" spans="12:12" ht="18.75" customHeight="1" x14ac:dyDescent="0.2">
      <c r="L255" s="2"/>
    </row>
    <row r="256" spans="12:12" ht="18.75" customHeight="1" x14ac:dyDescent="0.2">
      <c r="L256" s="2"/>
    </row>
    <row r="257" spans="12:12" ht="18.75" customHeight="1" x14ac:dyDescent="0.2">
      <c r="L257" s="2"/>
    </row>
    <row r="258" spans="12:12" ht="18.75" customHeight="1" x14ac:dyDescent="0.2">
      <c r="L258" s="2"/>
    </row>
    <row r="259" spans="12:12" ht="18.75" customHeight="1" x14ac:dyDescent="0.2">
      <c r="L259" s="2"/>
    </row>
    <row r="260" spans="12:12" ht="18.75" customHeight="1" x14ac:dyDescent="0.2">
      <c r="L260" s="2"/>
    </row>
    <row r="261" spans="12:12" ht="18.75" customHeight="1" x14ac:dyDescent="0.2">
      <c r="L261" s="2"/>
    </row>
    <row r="262" spans="12:12" ht="18.75" customHeight="1" x14ac:dyDescent="0.2">
      <c r="L262" s="2"/>
    </row>
    <row r="263" spans="12:12" ht="18.75" customHeight="1" x14ac:dyDescent="0.2">
      <c r="L263" s="2"/>
    </row>
    <row r="264" spans="12:12" ht="18.75" customHeight="1" x14ac:dyDescent="0.2">
      <c r="L264" s="2"/>
    </row>
    <row r="265" spans="12:12" ht="18.75" customHeight="1" x14ac:dyDescent="0.2">
      <c r="L265" s="2"/>
    </row>
    <row r="266" spans="12:12" ht="18.75" customHeight="1" x14ac:dyDescent="0.2">
      <c r="L266" s="2"/>
    </row>
    <row r="267" spans="12:12" ht="18.75" customHeight="1" x14ac:dyDescent="0.2">
      <c r="L267" s="2"/>
    </row>
    <row r="268" spans="12:12" ht="18.75" customHeight="1" x14ac:dyDescent="0.2">
      <c r="L268" s="2"/>
    </row>
    <row r="269" spans="12:12" ht="18.75" customHeight="1" x14ac:dyDescent="0.2">
      <c r="L269" s="2"/>
    </row>
    <row r="270" spans="12:12" ht="18.75" customHeight="1" x14ac:dyDescent="0.2">
      <c r="L270" s="2"/>
    </row>
    <row r="271" spans="12:12" ht="18.75" customHeight="1" x14ac:dyDescent="0.2">
      <c r="L271" s="2"/>
    </row>
    <row r="272" spans="12:12" ht="18.75" customHeight="1" x14ac:dyDescent="0.2">
      <c r="L272" s="2"/>
    </row>
    <row r="273" spans="12:12" ht="18.75" customHeight="1" x14ac:dyDescent="0.2">
      <c r="L273" s="2"/>
    </row>
    <row r="274" spans="12:12" ht="18.75" customHeight="1" x14ac:dyDescent="0.2">
      <c r="L274" s="2"/>
    </row>
    <row r="275" spans="12:12" ht="18.75" customHeight="1" x14ac:dyDescent="0.2">
      <c r="L275" s="2"/>
    </row>
    <row r="276" spans="12:12" ht="18.75" customHeight="1" x14ac:dyDescent="0.2">
      <c r="L276" s="2"/>
    </row>
    <row r="277" spans="12:12" ht="18.75" customHeight="1" x14ac:dyDescent="0.2">
      <c r="L277" s="2"/>
    </row>
    <row r="278" spans="12:12" ht="18.75" customHeight="1" x14ac:dyDescent="0.2">
      <c r="L278" s="2"/>
    </row>
    <row r="279" spans="12:12" ht="18.75" customHeight="1" x14ac:dyDescent="0.2">
      <c r="L279" s="2"/>
    </row>
    <row r="280" spans="12:12" ht="18.75" customHeight="1" x14ac:dyDescent="0.2">
      <c r="L280" s="2"/>
    </row>
    <row r="281" spans="12:12" ht="18.75" customHeight="1" x14ac:dyDescent="0.2">
      <c r="L281" s="2"/>
    </row>
    <row r="282" spans="12:12" ht="18.75" customHeight="1" x14ac:dyDescent="0.2">
      <c r="L282" s="2"/>
    </row>
    <row r="283" spans="12:12" ht="18.75" customHeight="1" x14ac:dyDescent="0.2">
      <c r="L283" s="2"/>
    </row>
    <row r="284" spans="12:12" ht="18.75" customHeight="1" x14ac:dyDescent="0.2">
      <c r="L284" s="2"/>
    </row>
    <row r="285" spans="12:12" ht="18.75" customHeight="1" x14ac:dyDescent="0.2">
      <c r="L285" s="2"/>
    </row>
    <row r="286" spans="12:12" ht="18.75" customHeight="1" x14ac:dyDescent="0.2">
      <c r="L286" s="2"/>
    </row>
    <row r="287" spans="12:12" ht="18.75" customHeight="1" x14ac:dyDescent="0.2">
      <c r="L287" s="2"/>
    </row>
    <row r="288" spans="12:12" ht="18.75" customHeight="1" x14ac:dyDescent="0.2">
      <c r="L288" s="2"/>
    </row>
    <row r="289" spans="12:12" ht="18.75" customHeight="1" x14ac:dyDescent="0.2">
      <c r="L289" s="2"/>
    </row>
    <row r="290" spans="12:12" ht="18.75" customHeight="1" x14ac:dyDescent="0.2">
      <c r="L290" s="2"/>
    </row>
    <row r="291" spans="12:12" ht="18.75" customHeight="1" x14ac:dyDescent="0.2">
      <c r="L291" s="2"/>
    </row>
    <row r="292" spans="12:12" ht="18.75" customHeight="1" x14ac:dyDescent="0.2">
      <c r="L292" s="2"/>
    </row>
    <row r="293" spans="12:12" ht="18.75" customHeight="1" x14ac:dyDescent="0.2">
      <c r="L293" s="2"/>
    </row>
    <row r="294" spans="12:12" ht="18.75" customHeight="1" x14ac:dyDescent="0.2">
      <c r="L294" s="2"/>
    </row>
    <row r="295" spans="12:12" ht="18.75" customHeight="1" x14ac:dyDescent="0.2">
      <c r="L295" s="2"/>
    </row>
    <row r="296" spans="12:12" ht="18.75" customHeight="1" x14ac:dyDescent="0.2">
      <c r="L296" s="2"/>
    </row>
    <row r="297" spans="12:12" ht="18.75" customHeight="1" x14ac:dyDescent="0.2">
      <c r="L297" s="2"/>
    </row>
    <row r="298" spans="12:12" ht="18.75" customHeight="1" x14ac:dyDescent="0.2">
      <c r="L298" s="2"/>
    </row>
    <row r="299" spans="12:12" ht="18.75" customHeight="1" x14ac:dyDescent="0.2">
      <c r="L299" s="2"/>
    </row>
    <row r="300" spans="12:12" ht="18.75" customHeight="1" x14ac:dyDescent="0.2">
      <c r="L300" s="2"/>
    </row>
    <row r="301" spans="12:12" ht="18.75" customHeight="1" x14ac:dyDescent="0.2">
      <c r="L301" s="2"/>
    </row>
    <row r="302" spans="12:12" ht="18.75" customHeight="1" x14ac:dyDescent="0.2">
      <c r="L302" s="2"/>
    </row>
    <row r="303" spans="12:12" ht="18.75" customHeight="1" x14ac:dyDescent="0.2">
      <c r="L303" s="2"/>
    </row>
    <row r="304" spans="12:12" ht="18.75" customHeight="1" x14ac:dyDescent="0.2">
      <c r="L304" s="2"/>
    </row>
    <row r="305" spans="12:12" ht="18.75" customHeight="1" x14ac:dyDescent="0.2">
      <c r="L305" s="2"/>
    </row>
    <row r="306" spans="12:12" ht="18.75" customHeight="1" x14ac:dyDescent="0.2">
      <c r="L306" s="2"/>
    </row>
    <row r="307" spans="12:12" ht="18.75" customHeight="1" x14ac:dyDescent="0.2">
      <c r="L307" s="2"/>
    </row>
    <row r="308" spans="12:12" ht="18.75" customHeight="1" x14ac:dyDescent="0.2">
      <c r="L308" s="2"/>
    </row>
    <row r="309" spans="12:12" ht="18.75" customHeight="1" x14ac:dyDescent="0.2">
      <c r="L309" s="2"/>
    </row>
    <row r="310" spans="12:12" ht="18.75" customHeight="1" x14ac:dyDescent="0.2">
      <c r="L310" s="2"/>
    </row>
    <row r="311" spans="12:12" ht="18.75" customHeight="1" x14ac:dyDescent="0.2">
      <c r="L311" s="2"/>
    </row>
    <row r="312" spans="12:12" ht="18.75" customHeight="1" x14ac:dyDescent="0.2">
      <c r="L312" s="2"/>
    </row>
    <row r="313" spans="12:12" ht="18.75" customHeight="1" x14ac:dyDescent="0.2">
      <c r="L313" s="2"/>
    </row>
    <row r="314" spans="12:12" ht="18.75" customHeight="1" x14ac:dyDescent="0.2">
      <c r="L314" s="2"/>
    </row>
    <row r="315" spans="12:12" ht="18.75" customHeight="1" x14ac:dyDescent="0.2">
      <c r="L315" s="2"/>
    </row>
    <row r="316" spans="12:12" ht="18.75" customHeight="1" x14ac:dyDescent="0.2">
      <c r="L316" s="2"/>
    </row>
    <row r="317" spans="12:12" ht="18.75" customHeight="1" x14ac:dyDescent="0.2">
      <c r="L317" s="2"/>
    </row>
    <row r="318" spans="12:12" ht="18.75" customHeight="1" x14ac:dyDescent="0.2">
      <c r="L318" s="2"/>
    </row>
    <row r="319" spans="12:12" ht="18.75" customHeight="1" x14ac:dyDescent="0.2">
      <c r="L319" s="2"/>
    </row>
    <row r="320" spans="12:12" ht="18.75" customHeight="1" x14ac:dyDescent="0.2">
      <c r="L320" s="2"/>
    </row>
    <row r="321" spans="12:12" ht="18.75" customHeight="1" x14ac:dyDescent="0.2">
      <c r="L321" s="2"/>
    </row>
    <row r="322" spans="12:12" ht="18.75" customHeight="1" x14ac:dyDescent="0.2">
      <c r="L322" s="2"/>
    </row>
    <row r="323" spans="12:12" ht="18.75" customHeight="1" x14ac:dyDescent="0.2">
      <c r="L323" s="2"/>
    </row>
    <row r="324" spans="12:12" ht="18.75" customHeight="1" x14ac:dyDescent="0.2">
      <c r="L324" s="2"/>
    </row>
    <row r="325" spans="12:12" ht="18.75" customHeight="1" x14ac:dyDescent="0.2">
      <c r="L325" s="2"/>
    </row>
    <row r="326" spans="12:12" ht="18.75" customHeight="1" x14ac:dyDescent="0.2">
      <c r="L326" s="2"/>
    </row>
    <row r="327" spans="12:12" ht="18.75" customHeight="1" x14ac:dyDescent="0.2">
      <c r="L327" s="2"/>
    </row>
    <row r="328" spans="12:12" ht="18.75" customHeight="1" x14ac:dyDescent="0.2">
      <c r="L328" s="2"/>
    </row>
    <row r="329" spans="12:12" ht="18.75" customHeight="1" x14ac:dyDescent="0.2">
      <c r="L329" s="2"/>
    </row>
    <row r="330" spans="12:12" ht="18.75" customHeight="1" x14ac:dyDescent="0.2">
      <c r="L330" s="2"/>
    </row>
    <row r="331" spans="12:12" ht="18.75" customHeight="1" x14ac:dyDescent="0.2">
      <c r="L331" s="2"/>
    </row>
    <row r="332" spans="12:12" ht="18.75" customHeight="1" x14ac:dyDescent="0.2">
      <c r="L332" s="2"/>
    </row>
    <row r="333" spans="12:12" ht="18.75" customHeight="1" x14ac:dyDescent="0.2">
      <c r="L333" s="2"/>
    </row>
    <row r="334" spans="12:12" ht="18.75" customHeight="1" x14ac:dyDescent="0.2">
      <c r="L334" s="2"/>
    </row>
    <row r="335" spans="12:12" ht="18.75" customHeight="1" x14ac:dyDescent="0.2">
      <c r="L335" s="2"/>
    </row>
    <row r="336" spans="12:12" ht="18.75" customHeight="1" x14ac:dyDescent="0.2">
      <c r="L336" s="2"/>
    </row>
    <row r="337" spans="12:12" ht="18.75" customHeight="1" x14ac:dyDescent="0.2">
      <c r="L337" s="2"/>
    </row>
    <row r="338" spans="12:12" ht="18.75" customHeight="1" x14ac:dyDescent="0.2">
      <c r="L338" s="2"/>
    </row>
    <row r="339" spans="12:12" ht="18.75" customHeight="1" x14ac:dyDescent="0.2">
      <c r="L339" s="2"/>
    </row>
    <row r="340" spans="12:12" ht="18.75" customHeight="1" x14ac:dyDescent="0.2">
      <c r="L340" s="2"/>
    </row>
    <row r="341" spans="12:12" ht="18.75" customHeight="1" x14ac:dyDescent="0.2">
      <c r="L341" s="2"/>
    </row>
    <row r="342" spans="12:12" ht="18.75" customHeight="1" x14ac:dyDescent="0.2">
      <c r="L342" s="2"/>
    </row>
    <row r="343" spans="12:12" ht="18.75" customHeight="1" x14ac:dyDescent="0.2">
      <c r="L343" s="2"/>
    </row>
    <row r="344" spans="12:12" ht="18.75" customHeight="1" x14ac:dyDescent="0.2">
      <c r="L344" s="2"/>
    </row>
    <row r="345" spans="12:12" ht="18.75" customHeight="1" x14ac:dyDescent="0.2">
      <c r="L345" s="2"/>
    </row>
    <row r="346" spans="12:12" ht="18.75" customHeight="1" x14ac:dyDescent="0.2">
      <c r="L346" s="2"/>
    </row>
    <row r="347" spans="12:12" ht="18.75" customHeight="1" x14ac:dyDescent="0.2">
      <c r="L347" s="2"/>
    </row>
    <row r="348" spans="12:12" ht="18.75" customHeight="1" x14ac:dyDescent="0.2">
      <c r="L348" s="2"/>
    </row>
    <row r="349" spans="12:12" ht="18.75" customHeight="1" x14ac:dyDescent="0.2">
      <c r="L349" s="2"/>
    </row>
    <row r="350" spans="12:12" ht="18.75" customHeight="1" x14ac:dyDescent="0.2">
      <c r="L350" s="2"/>
    </row>
    <row r="351" spans="12:12" ht="18.75" customHeight="1" x14ac:dyDescent="0.2">
      <c r="L351" s="2"/>
    </row>
    <row r="352" spans="12:12" ht="18.75" customHeight="1" x14ac:dyDescent="0.2">
      <c r="L352" s="2"/>
    </row>
    <row r="353" spans="12:12" ht="18.75" customHeight="1" x14ac:dyDescent="0.2">
      <c r="L353" s="2"/>
    </row>
    <row r="354" spans="12:12" ht="18.75" customHeight="1" x14ac:dyDescent="0.2">
      <c r="L354" s="2"/>
    </row>
    <row r="355" spans="12:12" ht="18.75" customHeight="1" x14ac:dyDescent="0.2">
      <c r="L355" s="2"/>
    </row>
    <row r="356" spans="12:12" ht="18.75" customHeight="1" x14ac:dyDescent="0.2">
      <c r="L356" s="2"/>
    </row>
    <row r="357" spans="12:12" ht="18.75" customHeight="1" x14ac:dyDescent="0.2">
      <c r="L357" s="2"/>
    </row>
    <row r="358" spans="12:12" ht="18.75" customHeight="1" x14ac:dyDescent="0.2">
      <c r="L358" s="2"/>
    </row>
    <row r="359" spans="12:12" ht="18.75" customHeight="1" x14ac:dyDescent="0.2">
      <c r="L359" s="2"/>
    </row>
    <row r="360" spans="12:12" ht="18.75" customHeight="1" x14ac:dyDescent="0.2">
      <c r="L360" s="2"/>
    </row>
    <row r="361" spans="12:12" ht="18.75" customHeight="1" x14ac:dyDescent="0.2">
      <c r="L361" s="2"/>
    </row>
    <row r="362" spans="12:12" ht="18.75" customHeight="1" x14ac:dyDescent="0.2">
      <c r="L362" s="2"/>
    </row>
    <row r="363" spans="12:12" ht="18.75" customHeight="1" x14ac:dyDescent="0.2">
      <c r="L363" s="2"/>
    </row>
    <row r="364" spans="12:12" ht="18.75" customHeight="1" x14ac:dyDescent="0.2">
      <c r="L364" s="2"/>
    </row>
    <row r="365" spans="12:12" ht="18.75" customHeight="1" x14ac:dyDescent="0.2">
      <c r="L365" s="2"/>
    </row>
    <row r="366" spans="12:12" ht="18.75" customHeight="1" x14ac:dyDescent="0.2">
      <c r="L366" s="2"/>
    </row>
    <row r="367" spans="12:12" ht="18.75" customHeight="1" x14ac:dyDescent="0.2">
      <c r="L367" s="2"/>
    </row>
    <row r="368" spans="12:12" ht="18.75" customHeight="1" x14ac:dyDescent="0.2">
      <c r="L368" s="2"/>
    </row>
    <row r="369" spans="12:12" ht="18.75" customHeight="1" x14ac:dyDescent="0.2">
      <c r="L369" s="2"/>
    </row>
    <row r="370" spans="12:12" ht="18.75" customHeight="1" x14ac:dyDescent="0.2">
      <c r="L370" s="2"/>
    </row>
    <row r="371" spans="12:12" ht="18.75" customHeight="1" x14ac:dyDescent="0.2">
      <c r="L371" s="2"/>
    </row>
    <row r="372" spans="12:12" ht="18.75" customHeight="1" x14ac:dyDescent="0.2">
      <c r="L372" s="2"/>
    </row>
    <row r="373" spans="12:12" ht="18.75" customHeight="1" x14ac:dyDescent="0.2">
      <c r="L373" s="2"/>
    </row>
    <row r="374" spans="12:12" ht="18.75" customHeight="1" x14ac:dyDescent="0.2">
      <c r="L374" s="2"/>
    </row>
    <row r="375" spans="12:12" ht="18.75" customHeight="1" x14ac:dyDescent="0.2">
      <c r="L375" s="2"/>
    </row>
    <row r="376" spans="12:12" ht="18.75" customHeight="1" x14ac:dyDescent="0.2">
      <c r="L376" s="2"/>
    </row>
    <row r="377" spans="12:12" ht="18.75" customHeight="1" x14ac:dyDescent="0.2">
      <c r="L377" s="2"/>
    </row>
    <row r="378" spans="12:12" ht="18.75" customHeight="1" x14ac:dyDescent="0.2">
      <c r="L378" s="2"/>
    </row>
    <row r="379" spans="12:12" ht="18.75" customHeight="1" x14ac:dyDescent="0.2">
      <c r="L379" s="2"/>
    </row>
    <row r="380" spans="12:12" ht="18.75" customHeight="1" x14ac:dyDescent="0.2">
      <c r="L380" s="2"/>
    </row>
    <row r="381" spans="12:12" ht="18.75" customHeight="1" x14ac:dyDescent="0.2">
      <c r="L381" s="2"/>
    </row>
    <row r="382" spans="12:12" ht="18.75" customHeight="1" x14ac:dyDescent="0.2">
      <c r="L382" s="2"/>
    </row>
    <row r="383" spans="12:12" ht="18.75" customHeight="1" x14ac:dyDescent="0.2">
      <c r="L383" s="2"/>
    </row>
    <row r="384" spans="12:12" ht="18.75" customHeight="1" x14ac:dyDescent="0.2">
      <c r="L384" s="2"/>
    </row>
    <row r="385" spans="12:12" ht="18.75" customHeight="1" x14ac:dyDescent="0.2">
      <c r="L385" s="2"/>
    </row>
    <row r="386" spans="12:12" ht="18.75" customHeight="1" x14ac:dyDescent="0.2">
      <c r="L386" s="2"/>
    </row>
    <row r="387" spans="12:12" ht="18.75" customHeight="1" x14ac:dyDescent="0.2">
      <c r="L387" s="2"/>
    </row>
    <row r="388" spans="12:12" ht="18.75" customHeight="1" x14ac:dyDescent="0.2">
      <c r="L388" s="2"/>
    </row>
    <row r="389" spans="12:12" ht="18.75" customHeight="1" x14ac:dyDescent="0.2">
      <c r="L389" s="2"/>
    </row>
    <row r="390" spans="12:12" ht="18.75" customHeight="1" x14ac:dyDescent="0.2">
      <c r="L390" s="2"/>
    </row>
    <row r="391" spans="12:12" ht="18.75" customHeight="1" x14ac:dyDescent="0.2">
      <c r="L391" s="2"/>
    </row>
    <row r="392" spans="12:12" ht="18.75" customHeight="1" x14ac:dyDescent="0.2">
      <c r="L392" s="2"/>
    </row>
    <row r="393" spans="12:12" ht="18.75" customHeight="1" x14ac:dyDescent="0.2">
      <c r="L393" s="2"/>
    </row>
    <row r="394" spans="12:12" ht="18.75" customHeight="1" x14ac:dyDescent="0.2">
      <c r="L394" s="2"/>
    </row>
    <row r="395" spans="12:12" ht="18.75" customHeight="1" x14ac:dyDescent="0.2">
      <c r="L395" s="2"/>
    </row>
    <row r="396" spans="12:12" ht="18.75" customHeight="1" x14ac:dyDescent="0.2">
      <c r="L396" s="2"/>
    </row>
    <row r="397" spans="12:12" ht="18.75" customHeight="1" x14ac:dyDescent="0.2">
      <c r="L397" s="2"/>
    </row>
    <row r="398" spans="12:12" ht="18.75" customHeight="1" x14ac:dyDescent="0.2">
      <c r="L398" s="2"/>
    </row>
    <row r="399" spans="12:12" ht="18.75" customHeight="1" x14ac:dyDescent="0.2">
      <c r="L399" s="2"/>
    </row>
    <row r="400" spans="12:12" ht="18.75" customHeight="1" x14ac:dyDescent="0.2">
      <c r="L400" s="2"/>
    </row>
    <row r="401" spans="12:12" ht="18.75" customHeight="1" x14ac:dyDescent="0.2">
      <c r="L401" s="2"/>
    </row>
    <row r="402" spans="12:12" ht="18.75" customHeight="1" x14ac:dyDescent="0.2">
      <c r="L402" s="2"/>
    </row>
    <row r="403" spans="12:12" ht="18.75" customHeight="1" x14ac:dyDescent="0.2">
      <c r="L403" s="2"/>
    </row>
    <row r="404" spans="12:12" ht="18.75" customHeight="1" x14ac:dyDescent="0.2">
      <c r="L404" s="2"/>
    </row>
    <row r="405" spans="12:12" ht="18.75" customHeight="1" x14ac:dyDescent="0.2">
      <c r="L405" s="2"/>
    </row>
    <row r="406" spans="12:12" ht="18.75" customHeight="1" x14ac:dyDescent="0.2">
      <c r="L406" s="2"/>
    </row>
    <row r="407" spans="12:12" ht="18.75" customHeight="1" x14ac:dyDescent="0.2">
      <c r="L407" s="2"/>
    </row>
    <row r="408" spans="12:12" ht="18.75" customHeight="1" x14ac:dyDescent="0.2">
      <c r="L408" s="2"/>
    </row>
    <row r="409" spans="12:12" ht="18.75" customHeight="1" x14ac:dyDescent="0.2">
      <c r="L409" s="2"/>
    </row>
    <row r="410" spans="12:12" ht="18.75" customHeight="1" x14ac:dyDescent="0.2">
      <c r="L410" s="2"/>
    </row>
    <row r="411" spans="12:12" ht="18.75" customHeight="1" x14ac:dyDescent="0.2">
      <c r="L411" s="2"/>
    </row>
    <row r="412" spans="12:12" ht="18.75" customHeight="1" x14ac:dyDescent="0.2">
      <c r="L412" s="2"/>
    </row>
    <row r="413" spans="12:12" ht="18.75" customHeight="1" x14ac:dyDescent="0.2">
      <c r="L413" s="2"/>
    </row>
    <row r="414" spans="12:12" ht="18.75" customHeight="1" x14ac:dyDescent="0.2">
      <c r="L414" s="2"/>
    </row>
    <row r="415" spans="12:12" ht="18.75" customHeight="1" x14ac:dyDescent="0.2">
      <c r="L415" s="2"/>
    </row>
    <row r="416" spans="12:12" ht="18.75" customHeight="1" x14ac:dyDescent="0.2">
      <c r="L416" s="2"/>
    </row>
    <row r="417" spans="12:12" ht="18.75" customHeight="1" x14ac:dyDescent="0.2">
      <c r="L417" s="2"/>
    </row>
    <row r="418" spans="12:12" ht="18.75" customHeight="1" x14ac:dyDescent="0.2">
      <c r="L418" s="2"/>
    </row>
    <row r="419" spans="12:12" ht="18.75" customHeight="1" x14ac:dyDescent="0.2">
      <c r="L419" s="2"/>
    </row>
    <row r="420" spans="12:12" ht="18.75" customHeight="1" x14ac:dyDescent="0.2">
      <c r="L420" s="2"/>
    </row>
    <row r="421" spans="12:12" ht="18.75" customHeight="1" x14ac:dyDescent="0.2">
      <c r="L421" s="2"/>
    </row>
    <row r="422" spans="12:12" ht="18.75" customHeight="1" x14ac:dyDescent="0.2">
      <c r="L422" s="2"/>
    </row>
    <row r="423" spans="12:12" ht="18.75" customHeight="1" x14ac:dyDescent="0.2">
      <c r="L423" s="2"/>
    </row>
    <row r="424" spans="12:12" ht="18.75" customHeight="1" x14ac:dyDescent="0.2">
      <c r="L424" s="2"/>
    </row>
    <row r="425" spans="12:12" ht="18.75" customHeight="1" x14ac:dyDescent="0.2">
      <c r="L425" s="2"/>
    </row>
    <row r="426" spans="12:12" ht="18.75" customHeight="1" x14ac:dyDescent="0.2">
      <c r="L426" s="2"/>
    </row>
    <row r="427" spans="12:12" ht="18.75" customHeight="1" x14ac:dyDescent="0.2">
      <c r="L427" s="2"/>
    </row>
    <row r="428" spans="12:12" ht="18.75" customHeight="1" x14ac:dyDescent="0.2">
      <c r="L428" s="2"/>
    </row>
    <row r="429" spans="12:12" ht="18.75" customHeight="1" x14ac:dyDescent="0.2">
      <c r="L429" s="2"/>
    </row>
    <row r="430" spans="12:12" ht="18.75" customHeight="1" x14ac:dyDescent="0.2">
      <c r="L430" s="2"/>
    </row>
    <row r="431" spans="12:12" ht="18.75" customHeight="1" x14ac:dyDescent="0.2">
      <c r="L431" s="2"/>
    </row>
    <row r="432" spans="12:12" ht="18.75" customHeight="1" x14ac:dyDescent="0.2">
      <c r="L432" s="2"/>
    </row>
    <row r="433" spans="12:12" ht="18.75" customHeight="1" x14ac:dyDescent="0.2">
      <c r="L433" s="2"/>
    </row>
    <row r="434" spans="12:12" ht="18.75" customHeight="1" x14ac:dyDescent="0.2">
      <c r="L434" s="2"/>
    </row>
    <row r="435" spans="12:12" ht="18.75" customHeight="1" x14ac:dyDescent="0.2">
      <c r="L435" s="2"/>
    </row>
    <row r="436" spans="12:12" ht="18.75" customHeight="1" x14ac:dyDescent="0.2">
      <c r="L436" s="2"/>
    </row>
    <row r="437" spans="12:12" ht="18.75" customHeight="1" x14ac:dyDescent="0.2">
      <c r="L437" s="2"/>
    </row>
    <row r="438" spans="12:12" ht="18.75" customHeight="1" x14ac:dyDescent="0.2">
      <c r="L438" s="2"/>
    </row>
    <row r="439" spans="12:12" ht="18.75" customHeight="1" x14ac:dyDescent="0.2">
      <c r="L439" s="2"/>
    </row>
    <row r="440" spans="12:12" ht="18.75" customHeight="1" x14ac:dyDescent="0.2">
      <c r="L440" s="2"/>
    </row>
    <row r="441" spans="12:12" ht="18.75" customHeight="1" x14ac:dyDescent="0.2">
      <c r="L441" s="2"/>
    </row>
    <row r="442" spans="12:12" ht="18.75" customHeight="1" x14ac:dyDescent="0.2">
      <c r="L442" s="2"/>
    </row>
    <row r="443" spans="12:12" ht="18.75" customHeight="1" x14ac:dyDescent="0.2">
      <c r="L443" s="2"/>
    </row>
    <row r="444" spans="12:12" ht="18.75" customHeight="1" x14ac:dyDescent="0.2">
      <c r="L444" s="2"/>
    </row>
    <row r="445" spans="12:12" ht="18.75" customHeight="1" x14ac:dyDescent="0.2">
      <c r="L445" s="2"/>
    </row>
    <row r="446" spans="12:12" ht="18.75" customHeight="1" x14ac:dyDescent="0.2">
      <c r="L446" s="2"/>
    </row>
    <row r="447" spans="12:12" ht="18.75" customHeight="1" x14ac:dyDescent="0.2">
      <c r="L447" s="2"/>
    </row>
    <row r="448" spans="12:12" ht="18.75" customHeight="1" x14ac:dyDescent="0.2">
      <c r="L448" s="2"/>
    </row>
    <row r="449" spans="12:12" ht="18.75" customHeight="1" x14ac:dyDescent="0.2">
      <c r="L449" s="2"/>
    </row>
    <row r="450" spans="12:12" ht="18.75" customHeight="1" x14ac:dyDescent="0.2">
      <c r="L450" s="2"/>
    </row>
    <row r="451" spans="12:12" ht="18.75" customHeight="1" x14ac:dyDescent="0.2">
      <c r="L451" s="2"/>
    </row>
    <row r="452" spans="12:12" ht="18.75" customHeight="1" x14ac:dyDescent="0.2">
      <c r="L452" s="2"/>
    </row>
    <row r="453" spans="12:12" ht="18.75" customHeight="1" x14ac:dyDescent="0.2">
      <c r="L453" s="2"/>
    </row>
    <row r="454" spans="12:12" ht="18.75" customHeight="1" x14ac:dyDescent="0.2">
      <c r="L454" s="2"/>
    </row>
    <row r="455" spans="12:12" ht="18.75" customHeight="1" x14ac:dyDescent="0.2">
      <c r="L455" s="2"/>
    </row>
    <row r="456" spans="12:12" ht="18.75" customHeight="1" x14ac:dyDescent="0.2">
      <c r="L456" s="2"/>
    </row>
    <row r="457" spans="12:12" ht="18.75" customHeight="1" x14ac:dyDescent="0.2">
      <c r="L457" s="2"/>
    </row>
    <row r="458" spans="12:12" ht="18.75" customHeight="1" x14ac:dyDescent="0.2">
      <c r="L458" s="2"/>
    </row>
    <row r="459" spans="12:12" ht="18.75" customHeight="1" x14ac:dyDescent="0.2">
      <c r="L459" s="2"/>
    </row>
    <row r="460" spans="12:12" ht="18.75" customHeight="1" x14ac:dyDescent="0.2">
      <c r="L460" s="2"/>
    </row>
    <row r="461" spans="12:12" ht="18.75" customHeight="1" x14ac:dyDescent="0.2">
      <c r="L461" s="2"/>
    </row>
    <row r="462" spans="12:12" ht="18.75" customHeight="1" x14ac:dyDescent="0.2">
      <c r="L462" s="2"/>
    </row>
    <row r="463" spans="12:12" ht="18.75" customHeight="1" x14ac:dyDescent="0.2">
      <c r="L463" s="2"/>
    </row>
    <row r="464" spans="12:12" ht="18.75" customHeight="1" x14ac:dyDescent="0.2">
      <c r="L464" s="2"/>
    </row>
    <row r="465" spans="12:12" ht="18.75" customHeight="1" x14ac:dyDescent="0.2">
      <c r="L465" s="2"/>
    </row>
    <row r="466" spans="12:12" ht="18.75" customHeight="1" x14ac:dyDescent="0.2">
      <c r="L466" s="2"/>
    </row>
    <row r="467" spans="12:12" ht="18.75" customHeight="1" x14ac:dyDescent="0.2">
      <c r="L467" s="2"/>
    </row>
    <row r="468" spans="12:12" ht="18.75" customHeight="1" x14ac:dyDescent="0.2">
      <c r="L468" s="2"/>
    </row>
    <row r="469" spans="12:12" ht="18.75" customHeight="1" x14ac:dyDescent="0.2">
      <c r="L469" s="2"/>
    </row>
    <row r="470" spans="12:12" ht="18.75" customHeight="1" x14ac:dyDescent="0.2">
      <c r="L470" s="2"/>
    </row>
    <row r="471" spans="12:12" ht="18.75" customHeight="1" x14ac:dyDescent="0.2">
      <c r="L471" s="2"/>
    </row>
    <row r="472" spans="12:12" ht="18.75" customHeight="1" x14ac:dyDescent="0.2">
      <c r="L472" s="2"/>
    </row>
    <row r="473" spans="12:12" ht="18.75" customHeight="1" x14ac:dyDescent="0.2">
      <c r="L473" s="2"/>
    </row>
    <row r="474" spans="12:12" ht="18.75" customHeight="1" x14ac:dyDescent="0.2">
      <c r="L474" s="2"/>
    </row>
    <row r="475" spans="12:12" ht="18.75" customHeight="1" x14ac:dyDescent="0.2">
      <c r="L475" s="2"/>
    </row>
    <row r="476" spans="12:12" ht="18.75" customHeight="1" x14ac:dyDescent="0.2">
      <c r="L476" s="2"/>
    </row>
    <row r="477" spans="12:12" ht="18.75" customHeight="1" x14ac:dyDescent="0.2">
      <c r="L477" s="2"/>
    </row>
    <row r="478" spans="12:12" ht="18.75" customHeight="1" x14ac:dyDescent="0.2">
      <c r="L478" s="2"/>
    </row>
    <row r="479" spans="12:12" ht="18.75" customHeight="1" x14ac:dyDescent="0.2">
      <c r="L479" s="2"/>
    </row>
    <row r="480" spans="12:12" ht="18.75" customHeight="1" x14ac:dyDescent="0.2">
      <c r="L480" s="2"/>
    </row>
    <row r="481" spans="12:12" ht="18.75" customHeight="1" x14ac:dyDescent="0.2">
      <c r="L481" s="2"/>
    </row>
    <row r="482" spans="12:12" ht="18.75" customHeight="1" x14ac:dyDescent="0.2">
      <c r="L482" s="2"/>
    </row>
    <row r="483" spans="12:12" ht="18.75" customHeight="1" x14ac:dyDescent="0.2">
      <c r="L483" s="2"/>
    </row>
    <row r="484" spans="12:12" ht="18.75" customHeight="1" x14ac:dyDescent="0.2">
      <c r="L484" s="2"/>
    </row>
    <row r="485" spans="12:12" ht="18.75" customHeight="1" x14ac:dyDescent="0.2">
      <c r="L485" s="2"/>
    </row>
    <row r="486" spans="12:12" ht="18.75" customHeight="1" x14ac:dyDescent="0.2">
      <c r="L486" s="2"/>
    </row>
    <row r="487" spans="12:12" ht="18.75" customHeight="1" x14ac:dyDescent="0.2">
      <c r="L487" s="2"/>
    </row>
    <row r="488" spans="12:12" ht="18.75" customHeight="1" x14ac:dyDescent="0.2">
      <c r="L488" s="2"/>
    </row>
    <row r="489" spans="12:12" ht="18.75" customHeight="1" x14ac:dyDescent="0.2">
      <c r="L489" s="2"/>
    </row>
    <row r="490" spans="12:12" ht="18.75" customHeight="1" x14ac:dyDescent="0.2">
      <c r="L490" s="2"/>
    </row>
    <row r="491" spans="12:12" ht="18.75" customHeight="1" x14ac:dyDescent="0.2">
      <c r="L491" s="2"/>
    </row>
    <row r="492" spans="12:12" ht="18.75" customHeight="1" x14ac:dyDescent="0.2">
      <c r="L492" s="2"/>
    </row>
    <row r="493" spans="12:12" ht="18.75" customHeight="1" x14ac:dyDescent="0.2">
      <c r="L493" s="2"/>
    </row>
    <row r="494" spans="12:12" ht="18.75" customHeight="1" x14ac:dyDescent="0.2">
      <c r="L494" s="2"/>
    </row>
    <row r="495" spans="12:12" ht="18.75" customHeight="1" x14ac:dyDescent="0.2">
      <c r="L495" s="2"/>
    </row>
    <row r="496" spans="12:12" ht="18.75" customHeight="1" x14ac:dyDescent="0.2">
      <c r="L496" s="2"/>
    </row>
    <row r="497" spans="12:12" ht="18.75" customHeight="1" x14ac:dyDescent="0.2">
      <c r="L497" s="2"/>
    </row>
    <row r="498" spans="12:12" ht="18.75" customHeight="1" x14ac:dyDescent="0.2">
      <c r="L498" s="2"/>
    </row>
    <row r="499" spans="12:12" ht="18.75" customHeight="1" x14ac:dyDescent="0.2">
      <c r="L499" s="2"/>
    </row>
    <row r="500" spans="12:12" ht="18.75" customHeight="1" x14ac:dyDescent="0.2">
      <c r="L500" s="2"/>
    </row>
    <row r="501" spans="12:12" ht="18.75" customHeight="1" x14ac:dyDescent="0.2">
      <c r="L501" s="2"/>
    </row>
    <row r="502" spans="12:12" ht="18.75" customHeight="1" x14ac:dyDescent="0.2">
      <c r="L502" s="2"/>
    </row>
    <row r="503" spans="12:12" ht="18.75" customHeight="1" x14ac:dyDescent="0.2">
      <c r="L503" s="2"/>
    </row>
    <row r="504" spans="12:12" ht="18.75" customHeight="1" x14ac:dyDescent="0.2">
      <c r="L504" s="2"/>
    </row>
    <row r="505" spans="12:12" ht="18.75" customHeight="1" x14ac:dyDescent="0.2">
      <c r="L505" s="2"/>
    </row>
    <row r="506" spans="12:12" ht="18.75" customHeight="1" x14ac:dyDescent="0.2">
      <c r="L506" s="2"/>
    </row>
    <row r="507" spans="12:12" ht="18.75" customHeight="1" x14ac:dyDescent="0.2">
      <c r="L507" s="2"/>
    </row>
    <row r="508" spans="12:12" ht="18.75" customHeight="1" x14ac:dyDescent="0.2">
      <c r="L508" s="2"/>
    </row>
    <row r="509" spans="12:12" ht="18.75" customHeight="1" x14ac:dyDescent="0.2">
      <c r="L509" s="2"/>
    </row>
    <row r="510" spans="12:12" ht="18.75" customHeight="1" x14ac:dyDescent="0.2">
      <c r="L510" s="2"/>
    </row>
    <row r="511" spans="12:12" ht="18.75" customHeight="1" x14ac:dyDescent="0.2">
      <c r="L511" s="2"/>
    </row>
    <row r="512" spans="12:12" ht="18.75" customHeight="1" x14ac:dyDescent="0.2">
      <c r="L512" s="2"/>
    </row>
    <row r="513" spans="12:12" ht="18.75" customHeight="1" x14ac:dyDescent="0.2">
      <c r="L513" s="2"/>
    </row>
    <row r="514" spans="12:12" ht="18.75" customHeight="1" x14ac:dyDescent="0.2">
      <c r="L514" s="2"/>
    </row>
    <row r="515" spans="12:12" ht="18.75" customHeight="1" x14ac:dyDescent="0.2">
      <c r="L515" s="2"/>
    </row>
    <row r="516" spans="12:12" ht="18.75" customHeight="1" x14ac:dyDescent="0.2">
      <c r="L516" s="2"/>
    </row>
    <row r="517" spans="12:12" ht="18.75" customHeight="1" x14ac:dyDescent="0.2">
      <c r="L517" s="2"/>
    </row>
    <row r="518" spans="12:12" ht="18.75" customHeight="1" x14ac:dyDescent="0.2">
      <c r="L518" s="2"/>
    </row>
    <row r="519" spans="12:12" ht="18.75" customHeight="1" x14ac:dyDescent="0.2">
      <c r="L519" s="2"/>
    </row>
    <row r="520" spans="12:12" ht="18.75" customHeight="1" x14ac:dyDescent="0.2">
      <c r="L520" s="2"/>
    </row>
    <row r="521" spans="12:12" ht="18.75" customHeight="1" x14ac:dyDescent="0.2">
      <c r="L521" s="2"/>
    </row>
    <row r="522" spans="12:12" ht="18.75" customHeight="1" x14ac:dyDescent="0.2">
      <c r="L522" s="2"/>
    </row>
    <row r="523" spans="12:12" ht="18.75" customHeight="1" x14ac:dyDescent="0.2">
      <c r="L523" s="2"/>
    </row>
    <row r="524" spans="12:12" ht="18.75" customHeight="1" x14ac:dyDescent="0.2">
      <c r="L524" s="2"/>
    </row>
    <row r="525" spans="12:12" ht="18.75" customHeight="1" x14ac:dyDescent="0.2">
      <c r="L525" s="2"/>
    </row>
    <row r="526" spans="12:12" ht="18.75" customHeight="1" x14ac:dyDescent="0.2">
      <c r="L526" s="2"/>
    </row>
    <row r="527" spans="12:12" ht="18.75" customHeight="1" x14ac:dyDescent="0.2">
      <c r="L527" s="2"/>
    </row>
    <row r="528" spans="12:12" ht="18.75" customHeight="1" x14ac:dyDescent="0.2">
      <c r="L528" s="2"/>
    </row>
    <row r="529" spans="12:12" ht="18.75" customHeight="1" x14ac:dyDescent="0.2">
      <c r="L529" s="2"/>
    </row>
    <row r="530" spans="12:12" ht="18.75" customHeight="1" x14ac:dyDescent="0.2">
      <c r="L530" s="2"/>
    </row>
    <row r="531" spans="12:12" ht="18.75" customHeight="1" x14ac:dyDescent="0.2">
      <c r="L531" s="2"/>
    </row>
    <row r="532" spans="12:12" ht="18.75" customHeight="1" x14ac:dyDescent="0.2">
      <c r="L532" s="2"/>
    </row>
    <row r="533" spans="12:12" ht="18.75" customHeight="1" x14ac:dyDescent="0.2">
      <c r="L533" s="2"/>
    </row>
    <row r="534" spans="12:12" ht="18.75" customHeight="1" x14ac:dyDescent="0.2">
      <c r="L534" s="2"/>
    </row>
    <row r="535" spans="12:12" ht="18.75" customHeight="1" x14ac:dyDescent="0.2">
      <c r="L535" s="2"/>
    </row>
    <row r="536" spans="12:12" ht="18.75" customHeight="1" x14ac:dyDescent="0.2">
      <c r="L536" s="2"/>
    </row>
    <row r="537" spans="12:12" ht="18.75" customHeight="1" x14ac:dyDescent="0.2">
      <c r="L537" s="2"/>
    </row>
    <row r="538" spans="12:12" ht="18.75" customHeight="1" x14ac:dyDescent="0.2">
      <c r="L538" s="2"/>
    </row>
    <row r="539" spans="12:12" ht="18.75" customHeight="1" x14ac:dyDescent="0.2">
      <c r="L539" s="2"/>
    </row>
    <row r="540" spans="12:12" ht="18.75" customHeight="1" x14ac:dyDescent="0.2">
      <c r="L540" s="2"/>
    </row>
    <row r="541" spans="12:12" ht="18.75" customHeight="1" x14ac:dyDescent="0.2">
      <c r="L541" s="2"/>
    </row>
    <row r="542" spans="12:12" ht="18.75" customHeight="1" x14ac:dyDescent="0.2">
      <c r="L542" s="2"/>
    </row>
    <row r="543" spans="12:12" ht="18.75" customHeight="1" x14ac:dyDescent="0.2">
      <c r="L543" s="2"/>
    </row>
    <row r="544" spans="12:12" ht="18.75" customHeight="1" x14ac:dyDescent="0.2">
      <c r="L544" s="2"/>
    </row>
    <row r="545" spans="12:12" ht="18.75" customHeight="1" x14ac:dyDescent="0.2">
      <c r="L545" s="2"/>
    </row>
    <row r="546" spans="12:12" ht="18.75" customHeight="1" x14ac:dyDescent="0.2">
      <c r="L546" s="2"/>
    </row>
    <row r="547" spans="12:12" ht="18.75" customHeight="1" x14ac:dyDescent="0.2">
      <c r="L547" s="2"/>
    </row>
    <row r="548" spans="12:12" ht="18.75" customHeight="1" x14ac:dyDescent="0.2">
      <c r="L548" s="2"/>
    </row>
    <row r="549" spans="12:12" ht="18.75" customHeight="1" x14ac:dyDescent="0.2">
      <c r="L549" s="2"/>
    </row>
    <row r="550" spans="12:12" ht="18.75" customHeight="1" x14ac:dyDescent="0.2">
      <c r="L550" s="2"/>
    </row>
    <row r="551" spans="12:12" ht="18.75" customHeight="1" x14ac:dyDescent="0.2">
      <c r="L551" s="2"/>
    </row>
    <row r="552" spans="12:12" ht="18.75" customHeight="1" x14ac:dyDescent="0.2">
      <c r="L552" s="2"/>
    </row>
    <row r="553" spans="12:12" ht="18.75" customHeight="1" x14ac:dyDescent="0.2">
      <c r="L553" s="2"/>
    </row>
    <row r="554" spans="12:12" ht="18.75" customHeight="1" x14ac:dyDescent="0.2">
      <c r="L554" s="2"/>
    </row>
    <row r="555" spans="12:12" ht="18.75" customHeight="1" x14ac:dyDescent="0.2">
      <c r="L555" s="2"/>
    </row>
    <row r="556" spans="12:12" ht="18.75" customHeight="1" x14ac:dyDescent="0.2">
      <c r="L556" s="2"/>
    </row>
    <row r="557" spans="12:12" ht="18.75" customHeight="1" x14ac:dyDescent="0.2">
      <c r="L557" s="2"/>
    </row>
    <row r="558" spans="12:12" ht="18.75" customHeight="1" x14ac:dyDescent="0.2">
      <c r="L558" s="2"/>
    </row>
    <row r="559" spans="12:12" ht="18.75" customHeight="1" x14ac:dyDescent="0.2">
      <c r="L559" s="2"/>
    </row>
    <row r="560" spans="12:12" ht="18.75" customHeight="1" x14ac:dyDescent="0.2">
      <c r="L560" s="2"/>
    </row>
    <row r="561" spans="12:12" ht="18.75" customHeight="1" x14ac:dyDescent="0.2">
      <c r="L561" s="2"/>
    </row>
    <row r="562" spans="12:12" ht="18.75" customHeight="1" x14ac:dyDescent="0.2">
      <c r="L562" s="2"/>
    </row>
    <row r="563" spans="12:12" ht="18.75" customHeight="1" x14ac:dyDescent="0.2">
      <c r="L563" s="2"/>
    </row>
    <row r="564" spans="12:12" ht="18.75" customHeight="1" x14ac:dyDescent="0.2">
      <c r="L564" s="2"/>
    </row>
    <row r="565" spans="12:12" ht="18.75" customHeight="1" x14ac:dyDescent="0.2">
      <c r="L565" s="2"/>
    </row>
    <row r="566" spans="12:12" ht="18.75" customHeight="1" x14ac:dyDescent="0.2">
      <c r="L566" s="2"/>
    </row>
    <row r="567" spans="12:12" ht="18.75" customHeight="1" x14ac:dyDescent="0.2">
      <c r="L567" s="2"/>
    </row>
    <row r="568" spans="12:12" ht="18.75" customHeight="1" x14ac:dyDescent="0.2">
      <c r="L568" s="2"/>
    </row>
    <row r="569" spans="12:12" ht="18.75" customHeight="1" x14ac:dyDescent="0.2">
      <c r="L569" s="2"/>
    </row>
    <row r="570" spans="12:12" ht="18.75" customHeight="1" x14ac:dyDescent="0.2">
      <c r="L570" s="2"/>
    </row>
    <row r="571" spans="12:12" ht="18.75" customHeight="1" x14ac:dyDescent="0.2">
      <c r="L571" s="2"/>
    </row>
    <row r="572" spans="12:12" ht="18.75" customHeight="1" x14ac:dyDescent="0.2">
      <c r="L572" s="2"/>
    </row>
    <row r="573" spans="12:12" ht="18.75" customHeight="1" x14ac:dyDescent="0.2">
      <c r="L573" s="2"/>
    </row>
    <row r="574" spans="12:12" ht="18.75" customHeight="1" x14ac:dyDescent="0.2">
      <c r="L574" s="2"/>
    </row>
    <row r="575" spans="12:12" ht="18.75" customHeight="1" x14ac:dyDescent="0.2">
      <c r="L575" s="2"/>
    </row>
    <row r="576" spans="12:12" ht="18.75" customHeight="1" x14ac:dyDescent="0.2">
      <c r="L576" s="2"/>
    </row>
    <row r="577" spans="12:12" ht="18.75" customHeight="1" x14ac:dyDescent="0.2">
      <c r="L577" s="2"/>
    </row>
    <row r="578" spans="12:12" ht="18.75" customHeight="1" x14ac:dyDescent="0.2">
      <c r="L578" s="2"/>
    </row>
    <row r="579" spans="12:12" ht="18.75" customHeight="1" x14ac:dyDescent="0.2">
      <c r="L579" s="2"/>
    </row>
    <row r="580" spans="12:12" ht="18.75" customHeight="1" x14ac:dyDescent="0.2">
      <c r="L580" s="2"/>
    </row>
    <row r="581" spans="12:12" ht="18.75" customHeight="1" x14ac:dyDescent="0.2">
      <c r="L581" s="2"/>
    </row>
    <row r="582" spans="12:12" ht="18.75" customHeight="1" x14ac:dyDescent="0.2">
      <c r="L582" s="2"/>
    </row>
    <row r="583" spans="12:12" ht="18.75" customHeight="1" x14ac:dyDescent="0.2">
      <c r="L583" s="2"/>
    </row>
    <row r="584" spans="12:12" ht="18.75" customHeight="1" x14ac:dyDescent="0.2">
      <c r="L584" s="2"/>
    </row>
    <row r="585" spans="12:12" ht="18.75" customHeight="1" x14ac:dyDescent="0.2">
      <c r="L585" s="2"/>
    </row>
    <row r="586" spans="12:12" ht="18.75" customHeight="1" x14ac:dyDescent="0.2">
      <c r="L586" s="2"/>
    </row>
    <row r="587" spans="12:12" ht="18.75" customHeight="1" x14ac:dyDescent="0.2">
      <c r="L587" s="2"/>
    </row>
    <row r="588" spans="12:12" ht="18.75" customHeight="1" x14ac:dyDescent="0.2">
      <c r="L588" s="2"/>
    </row>
    <row r="589" spans="12:12" ht="18.75" customHeight="1" x14ac:dyDescent="0.2">
      <c r="L589" s="2"/>
    </row>
    <row r="590" spans="12:12" ht="18.75" customHeight="1" x14ac:dyDescent="0.2">
      <c r="L590" s="2"/>
    </row>
    <row r="591" spans="12:12" ht="18.75" customHeight="1" x14ac:dyDescent="0.2">
      <c r="L591" s="2"/>
    </row>
    <row r="592" spans="12:12" ht="18.75" customHeight="1" x14ac:dyDescent="0.2">
      <c r="L592" s="2"/>
    </row>
    <row r="593" spans="12:12" ht="18.75" customHeight="1" x14ac:dyDescent="0.2">
      <c r="L593" s="2"/>
    </row>
    <row r="594" spans="12:12" ht="18.75" customHeight="1" x14ac:dyDescent="0.2">
      <c r="L594" s="2"/>
    </row>
    <row r="595" spans="12:12" ht="18.75" customHeight="1" x14ac:dyDescent="0.2">
      <c r="L595" s="2"/>
    </row>
    <row r="596" spans="12:12" ht="18.75" customHeight="1" x14ac:dyDescent="0.2">
      <c r="L596" s="2"/>
    </row>
    <row r="597" spans="12:12" ht="18.75" customHeight="1" x14ac:dyDescent="0.2">
      <c r="L597" s="2"/>
    </row>
    <row r="598" spans="12:12" ht="18.75" customHeight="1" x14ac:dyDescent="0.2">
      <c r="L598" s="2"/>
    </row>
    <row r="599" spans="12:12" ht="18.75" customHeight="1" x14ac:dyDescent="0.2">
      <c r="L599" s="2"/>
    </row>
    <row r="600" spans="12:12" ht="18.75" customHeight="1" x14ac:dyDescent="0.2">
      <c r="L600" s="2"/>
    </row>
    <row r="601" spans="12:12" ht="18.75" customHeight="1" x14ac:dyDescent="0.2">
      <c r="L601" s="2"/>
    </row>
    <row r="602" spans="12:12" ht="18.75" customHeight="1" x14ac:dyDescent="0.2">
      <c r="L602" s="2"/>
    </row>
    <row r="603" spans="12:12" ht="18.75" customHeight="1" x14ac:dyDescent="0.2">
      <c r="L603" s="2"/>
    </row>
    <row r="604" spans="12:12" ht="18.75" customHeight="1" x14ac:dyDescent="0.2">
      <c r="L604" s="2"/>
    </row>
    <row r="605" spans="12:12" ht="18.75" customHeight="1" x14ac:dyDescent="0.2">
      <c r="L605" s="2"/>
    </row>
    <row r="606" spans="12:12" ht="18.75" customHeight="1" x14ac:dyDescent="0.2">
      <c r="L606" s="2"/>
    </row>
    <row r="607" spans="12:12" ht="18.75" customHeight="1" x14ac:dyDescent="0.2">
      <c r="L607" s="2"/>
    </row>
    <row r="608" spans="12:12" ht="18.75" customHeight="1" x14ac:dyDescent="0.2">
      <c r="L608" s="2"/>
    </row>
    <row r="609" spans="12:12" ht="18.75" customHeight="1" x14ac:dyDescent="0.2">
      <c r="L609" s="2"/>
    </row>
    <row r="610" spans="12:12" ht="18.75" customHeight="1" x14ac:dyDescent="0.2">
      <c r="L610" s="2"/>
    </row>
    <row r="611" spans="12:12" ht="18.75" customHeight="1" x14ac:dyDescent="0.2">
      <c r="L611" s="2"/>
    </row>
    <row r="612" spans="12:12" ht="18.75" customHeight="1" x14ac:dyDescent="0.2">
      <c r="L612" s="2"/>
    </row>
    <row r="613" spans="12:12" ht="18.75" customHeight="1" x14ac:dyDescent="0.2">
      <c r="L613" s="2"/>
    </row>
    <row r="614" spans="12:12" ht="18.75" customHeight="1" x14ac:dyDescent="0.2">
      <c r="L614" s="2"/>
    </row>
    <row r="615" spans="12:12" ht="18.75" customHeight="1" x14ac:dyDescent="0.2">
      <c r="L615" s="2"/>
    </row>
    <row r="616" spans="12:12" ht="18.75" customHeight="1" x14ac:dyDescent="0.2">
      <c r="L616" s="2"/>
    </row>
    <row r="617" spans="12:12" ht="18.75" customHeight="1" x14ac:dyDescent="0.2">
      <c r="L617" s="2"/>
    </row>
    <row r="618" spans="12:12" ht="18.75" customHeight="1" x14ac:dyDescent="0.2">
      <c r="L618" s="2"/>
    </row>
    <row r="619" spans="12:12" ht="18.75" customHeight="1" x14ac:dyDescent="0.2">
      <c r="L619" s="2"/>
    </row>
    <row r="620" spans="12:12" ht="18.75" customHeight="1" x14ac:dyDescent="0.2">
      <c r="L620" s="2"/>
    </row>
    <row r="621" spans="12:12" ht="18.75" customHeight="1" x14ac:dyDescent="0.2">
      <c r="L621" s="2"/>
    </row>
    <row r="622" spans="12:12" ht="18.75" customHeight="1" x14ac:dyDescent="0.2">
      <c r="L622" s="2"/>
    </row>
    <row r="623" spans="12:12" ht="18.75" customHeight="1" x14ac:dyDescent="0.2">
      <c r="L623" s="2"/>
    </row>
    <row r="624" spans="12:12" ht="18.75" customHeight="1" x14ac:dyDescent="0.2">
      <c r="L624" s="2"/>
    </row>
    <row r="625" spans="12:12" ht="18.75" customHeight="1" x14ac:dyDescent="0.2">
      <c r="L625" s="2"/>
    </row>
    <row r="626" spans="12:12" ht="18.75" customHeight="1" x14ac:dyDescent="0.2">
      <c r="L626" s="2"/>
    </row>
    <row r="627" spans="12:12" ht="18.75" customHeight="1" x14ac:dyDescent="0.2">
      <c r="L627" s="2"/>
    </row>
    <row r="628" spans="12:12" ht="18.75" customHeight="1" x14ac:dyDescent="0.2">
      <c r="L628" s="2"/>
    </row>
    <row r="629" spans="12:12" ht="18.75" customHeight="1" x14ac:dyDescent="0.2">
      <c r="L629" s="2"/>
    </row>
    <row r="630" spans="12:12" ht="18.75" customHeight="1" x14ac:dyDescent="0.2">
      <c r="L630" s="2"/>
    </row>
    <row r="631" spans="12:12" ht="18.75" customHeight="1" x14ac:dyDescent="0.2">
      <c r="L631" s="2"/>
    </row>
    <row r="632" spans="12:12" ht="18.75" customHeight="1" x14ac:dyDescent="0.2">
      <c r="L632" s="2"/>
    </row>
    <row r="633" spans="12:12" ht="18.75" customHeight="1" x14ac:dyDescent="0.2">
      <c r="L633" s="2"/>
    </row>
    <row r="634" spans="12:12" ht="18.75" customHeight="1" x14ac:dyDescent="0.2">
      <c r="L634" s="2"/>
    </row>
    <row r="635" spans="12:12" ht="18.75" customHeight="1" x14ac:dyDescent="0.2">
      <c r="L635" s="2"/>
    </row>
    <row r="636" spans="12:12" ht="18.75" customHeight="1" x14ac:dyDescent="0.2">
      <c r="L636" s="2"/>
    </row>
    <row r="637" spans="12:12" ht="18.75" customHeight="1" x14ac:dyDescent="0.2">
      <c r="L637" s="2"/>
    </row>
    <row r="638" spans="12:12" ht="18.75" customHeight="1" x14ac:dyDescent="0.2">
      <c r="L638" s="2"/>
    </row>
    <row r="639" spans="12:12" ht="18.75" customHeight="1" x14ac:dyDescent="0.2">
      <c r="L639" s="2"/>
    </row>
    <row r="640" spans="12:12" ht="18.75" customHeight="1" x14ac:dyDescent="0.2">
      <c r="L640" s="2"/>
    </row>
    <row r="641" spans="12:12" ht="18.75" customHeight="1" x14ac:dyDescent="0.2">
      <c r="L641" s="2"/>
    </row>
    <row r="642" spans="12:12" ht="18.75" customHeight="1" x14ac:dyDescent="0.2">
      <c r="L642" s="2"/>
    </row>
    <row r="643" spans="12:12" ht="18.75" customHeight="1" x14ac:dyDescent="0.2">
      <c r="L643" s="2"/>
    </row>
    <row r="644" spans="12:12" ht="18.75" customHeight="1" x14ac:dyDescent="0.2">
      <c r="L644" s="2"/>
    </row>
    <row r="645" spans="12:12" ht="18.75" customHeight="1" x14ac:dyDescent="0.2">
      <c r="L645" s="2"/>
    </row>
    <row r="646" spans="12:12" ht="18.75" customHeight="1" x14ac:dyDescent="0.2">
      <c r="L646" s="2"/>
    </row>
    <row r="647" spans="12:12" ht="18.75" customHeight="1" x14ac:dyDescent="0.2">
      <c r="L647" s="2"/>
    </row>
    <row r="648" spans="12:12" ht="18.75" customHeight="1" x14ac:dyDescent="0.2">
      <c r="L648" s="2"/>
    </row>
    <row r="649" spans="12:12" ht="18.75" customHeight="1" x14ac:dyDescent="0.2">
      <c r="L649" s="2"/>
    </row>
    <row r="650" spans="12:12" ht="18.75" customHeight="1" x14ac:dyDescent="0.2">
      <c r="L650" s="2"/>
    </row>
    <row r="651" spans="12:12" ht="18.75" customHeight="1" x14ac:dyDescent="0.2">
      <c r="L651" s="2"/>
    </row>
    <row r="652" spans="12:12" ht="18.75" customHeight="1" x14ac:dyDescent="0.2">
      <c r="L652" s="2"/>
    </row>
    <row r="653" spans="12:12" ht="18.75" customHeight="1" x14ac:dyDescent="0.2">
      <c r="L653" s="2"/>
    </row>
    <row r="654" spans="12:12" ht="18.75" customHeight="1" x14ac:dyDescent="0.2">
      <c r="L654" s="2"/>
    </row>
    <row r="655" spans="12:12" ht="18.75" customHeight="1" x14ac:dyDescent="0.2">
      <c r="L655" s="2"/>
    </row>
    <row r="656" spans="12:12" ht="18.75" customHeight="1" x14ac:dyDescent="0.2">
      <c r="L656" s="2"/>
    </row>
    <row r="657" spans="12:12" ht="18.75" customHeight="1" x14ac:dyDescent="0.2">
      <c r="L657" s="2"/>
    </row>
    <row r="658" spans="12:12" ht="18.75" customHeight="1" x14ac:dyDescent="0.2">
      <c r="L658" s="2"/>
    </row>
    <row r="659" spans="12:12" ht="18.75" customHeight="1" x14ac:dyDescent="0.2">
      <c r="L659" s="2"/>
    </row>
    <row r="660" spans="12:12" ht="18.75" customHeight="1" x14ac:dyDescent="0.2">
      <c r="L660" s="2"/>
    </row>
    <row r="661" spans="12:12" ht="18.75" customHeight="1" x14ac:dyDescent="0.2">
      <c r="L661" s="2"/>
    </row>
    <row r="662" spans="12:12" ht="18.75" customHeight="1" x14ac:dyDescent="0.2">
      <c r="L662" s="2"/>
    </row>
    <row r="663" spans="12:12" ht="18.75" customHeight="1" x14ac:dyDescent="0.2">
      <c r="L663" s="2"/>
    </row>
    <row r="664" spans="12:12" ht="18.75" customHeight="1" x14ac:dyDescent="0.2">
      <c r="L664" s="2"/>
    </row>
    <row r="665" spans="12:12" ht="18.75" customHeight="1" x14ac:dyDescent="0.2">
      <c r="L665" s="2"/>
    </row>
    <row r="666" spans="12:12" ht="18.75" customHeight="1" x14ac:dyDescent="0.2">
      <c r="L666" s="2"/>
    </row>
    <row r="667" spans="12:12" ht="18.75" customHeight="1" x14ac:dyDescent="0.2">
      <c r="L667" s="2"/>
    </row>
    <row r="668" spans="12:12" ht="18.75" customHeight="1" x14ac:dyDescent="0.2">
      <c r="L668" s="2"/>
    </row>
    <row r="669" spans="12:12" ht="18.75" customHeight="1" x14ac:dyDescent="0.2">
      <c r="L669" s="2"/>
    </row>
    <row r="670" spans="12:12" ht="18.75" customHeight="1" x14ac:dyDescent="0.2">
      <c r="L670" s="2"/>
    </row>
    <row r="671" spans="12:12" ht="18.75" customHeight="1" x14ac:dyDescent="0.2">
      <c r="L671" s="2"/>
    </row>
    <row r="672" spans="12:12" ht="18.75" customHeight="1" x14ac:dyDescent="0.2">
      <c r="L672" s="2"/>
    </row>
    <row r="673" spans="12:12" ht="18.75" customHeight="1" x14ac:dyDescent="0.2">
      <c r="L673" s="2"/>
    </row>
    <row r="674" spans="12:12" ht="18.75" customHeight="1" x14ac:dyDescent="0.2">
      <c r="L674" s="2"/>
    </row>
    <row r="675" spans="12:12" ht="18.75" customHeight="1" x14ac:dyDescent="0.2">
      <c r="L675" s="2"/>
    </row>
    <row r="676" spans="12:12" ht="18.75" customHeight="1" x14ac:dyDescent="0.2">
      <c r="L676" s="2"/>
    </row>
    <row r="677" spans="12:12" ht="18.75" customHeight="1" x14ac:dyDescent="0.2">
      <c r="L677" s="2"/>
    </row>
    <row r="678" spans="12:12" ht="18.75" customHeight="1" x14ac:dyDescent="0.2">
      <c r="L678" s="2"/>
    </row>
    <row r="679" spans="12:12" ht="18.75" customHeight="1" x14ac:dyDescent="0.2">
      <c r="L679" s="2"/>
    </row>
    <row r="680" spans="12:12" ht="18.75" customHeight="1" x14ac:dyDescent="0.2">
      <c r="L680" s="2"/>
    </row>
    <row r="681" spans="12:12" ht="18.75" customHeight="1" x14ac:dyDescent="0.2">
      <c r="L681" s="2"/>
    </row>
    <row r="682" spans="12:12" ht="18.75" customHeight="1" x14ac:dyDescent="0.2">
      <c r="L682" s="2"/>
    </row>
    <row r="683" spans="12:12" ht="18.75" customHeight="1" x14ac:dyDescent="0.2">
      <c r="L683" s="2"/>
    </row>
    <row r="684" spans="12:12" ht="18.75" customHeight="1" x14ac:dyDescent="0.2">
      <c r="L684" s="2"/>
    </row>
    <row r="685" spans="12:12" ht="18.75" customHeight="1" x14ac:dyDescent="0.2">
      <c r="L685" s="2"/>
    </row>
    <row r="686" spans="12:12" ht="18.75" customHeight="1" x14ac:dyDescent="0.2">
      <c r="L686" s="2"/>
    </row>
    <row r="687" spans="12:12" ht="18.75" customHeight="1" x14ac:dyDescent="0.2">
      <c r="L687" s="2"/>
    </row>
    <row r="688" spans="12:12" ht="18.75" customHeight="1" x14ac:dyDescent="0.2">
      <c r="L688" s="2"/>
    </row>
    <row r="689" spans="12:12" ht="18.75" customHeight="1" x14ac:dyDescent="0.2">
      <c r="L689" s="2"/>
    </row>
    <row r="690" spans="12:12" ht="18.75" customHeight="1" x14ac:dyDescent="0.2">
      <c r="L690" s="2"/>
    </row>
    <row r="691" spans="12:12" ht="18.75" customHeight="1" x14ac:dyDescent="0.2">
      <c r="L691" s="2"/>
    </row>
    <row r="692" spans="12:12" ht="18.75" customHeight="1" x14ac:dyDescent="0.2">
      <c r="L692" s="2"/>
    </row>
    <row r="693" spans="12:12" ht="18.75" customHeight="1" x14ac:dyDescent="0.2">
      <c r="L693" s="2"/>
    </row>
    <row r="694" spans="12:12" ht="18.75" customHeight="1" x14ac:dyDescent="0.2">
      <c r="L694" s="2"/>
    </row>
    <row r="695" spans="12:12" ht="18.75" customHeight="1" x14ac:dyDescent="0.2">
      <c r="L695" s="2"/>
    </row>
    <row r="696" spans="12:12" ht="18.75" customHeight="1" x14ac:dyDescent="0.2">
      <c r="L696" s="2"/>
    </row>
    <row r="697" spans="12:12" ht="18.75" customHeight="1" x14ac:dyDescent="0.2">
      <c r="L697" s="2"/>
    </row>
    <row r="698" spans="12:12" ht="18.75" customHeight="1" x14ac:dyDescent="0.2">
      <c r="L698" s="2"/>
    </row>
    <row r="699" spans="12:12" ht="18.75" customHeight="1" x14ac:dyDescent="0.2">
      <c r="L699" s="2"/>
    </row>
    <row r="700" spans="12:12" ht="18.75" customHeight="1" x14ac:dyDescent="0.2">
      <c r="L700" s="2"/>
    </row>
    <row r="701" spans="12:12" ht="18.75" customHeight="1" x14ac:dyDescent="0.2">
      <c r="L701" s="2"/>
    </row>
    <row r="702" spans="12:12" ht="18.75" customHeight="1" x14ac:dyDescent="0.2">
      <c r="L702" s="2"/>
    </row>
    <row r="703" spans="12:12" ht="18.75" customHeight="1" x14ac:dyDescent="0.2">
      <c r="L703" s="2"/>
    </row>
    <row r="704" spans="12:12" ht="18.75" customHeight="1" x14ac:dyDescent="0.2">
      <c r="L704" s="2"/>
    </row>
    <row r="705" spans="12:12" ht="18.75" customHeight="1" x14ac:dyDescent="0.2">
      <c r="L705" s="2"/>
    </row>
    <row r="706" spans="12:12" ht="18.75" customHeight="1" x14ac:dyDescent="0.2">
      <c r="L706" s="2"/>
    </row>
    <row r="707" spans="12:12" ht="18.75" customHeight="1" x14ac:dyDescent="0.2">
      <c r="L707" s="2"/>
    </row>
    <row r="708" spans="12:12" ht="18.75" customHeight="1" x14ac:dyDescent="0.2">
      <c r="L708" s="2"/>
    </row>
    <row r="709" spans="12:12" ht="18.75" customHeight="1" x14ac:dyDescent="0.2">
      <c r="L709" s="2"/>
    </row>
    <row r="710" spans="12:12" ht="18.75" customHeight="1" x14ac:dyDescent="0.2">
      <c r="L710" s="2"/>
    </row>
    <row r="711" spans="12:12" ht="18.75" customHeight="1" x14ac:dyDescent="0.2">
      <c r="L711" s="2"/>
    </row>
    <row r="712" spans="12:12" ht="18.75" customHeight="1" x14ac:dyDescent="0.2">
      <c r="L712" s="2"/>
    </row>
    <row r="713" spans="12:12" ht="18.75" customHeight="1" x14ac:dyDescent="0.2">
      <c r="L713" s="2"/>
    </row>
    <row r="714" spans="12:12" ht="18.75" customHeight="1" x14ac:dyDescent="0.2">
      <c r="L714" s="2"/>
    </row>
    <row r="715" spans="12:12" ht="18.75" customHeight="1" x14ac:dyDescent="0.2">
      <c r="L715" s="2"/>
    </row>
    <row r="716" spans="12:12" ht="18.75" customHeight="1" x14ac:dyDescent="0.2">
      <c r="L716" s="2"/>
    </row>
    <row r="717" spans="12:12" ht="18.75" customHeight="1" x14ac:dyDescent="0.2">
      <c r="L717" s="2"/>
    </row>
    <row r="718" spans="12:12" ht="18.75" customHeight="1" x14ac:dyDescent="0.2">
      <c r="L718" s="2"/>
    </row>
    <row r="719" spans="12:12" ht="18.75" customHeight="1" x14ac:dyDescent="0.2">
      <c r="L719" s="2"/>
    </row>
    <row r="720" spans="12:12" ht="18.75" customHeight="1" x14ac:dyDescent="0.2">
      <c r="L720" s="2"/>
    </row>
    <row r="721" spans="12:12" ht="18.75" customHeight="1" x14ac:dyDescent="0.2">
      <c r="L721" s="2"/>
    </row>
    <row r="722" spans="12:12" ht="18.75" customHeight="1" x14ac:dyDescent="0.2">
      <c r="L722" s="2"/>
    </row>
    <row r="723" spans="12:12" ht="18.75" customHeight="1" x14ac:dyDescent="0.2">
      <c r="L723" s="2"/>
    </row>
    <row r="724" spans="12:12" ht="18.75" customHeight="1" x14ac:dyDescent="0.2">
      <c r="L724" s="2"/>
    </row>
    <row r="725" spans="12:12" ht="18.75" customHeight="1" x14ac:dyDescent="0.2">
      <c r="L725" s="2"/>
    </row>
    <row r="726" spans="12:12" ht="18.75" customHeight="1" x14ac:dyDescent="0.2">
      <c r="L726" s="2"/>
    </row>
    <row r="727" spans="12:12" ht="18.75" customHeight="1" x14ac:dyDescent="0.2">
      <c r="L727" s="2"/>
    </row>
    <row r="728" spans="12:12" ht="18.75" customHeight="1" x14ac:dyDescent="0.2">
      <c r="L728" s="2"/>
    </row>
    <row r="729" spans="12:12" ht="18.75" customHeight="1" x14ac:dyDescent="0.2">
      <c r="L729" s="2"/>
    </row>
    <row r="730" spans="12:12" ht="18.75" customHeight="1" x14ac:dyDescent="0.2">
      <c r="L730" s="2"/>
    </row>
    <row r="731" spans="12:12" ht="18.75" customHeight="1" x14ac:dyDescent="0.2">
      <c r="L731" s="2"/>
    </row>
    <row r="732" spans="12:12" ht="18.75" customHeight="1" x14ac:dyDescent="0.2">
      <c r="L732" s="2"/>
    </row>
    <row r="733" spans="12:12" ht="18.75" customHeight="1" x14ac:dyDescent="0.2">
      <c r="L733" s="2"/>
    </row>
    <row r="734" spans="12:12" ht="18.75" customHeight="1" x14ac:dyDescent="0.2">
      <c r="L734" s="2"/>
    </row>
    <row r="735" spans="12:12" ht="18.75" customHeight="1" x14ac:dyDescent="0.2">
      <c r="L735" s="2"/>
    </row>
    <row r="736" spans="12:12" ht="18.75" customHeight="1" x14ac:dyDescent="0.2">
      <c r="L736" s="2"/>
    </row>
    <row r="737" spans="12:12" ht="18.75" customHeight="1" x14ac:dyDescent="0.2">
      <c r="L737" s="2"/>
    </row>
    <row r="738" spans="12:12" ht="18.75" customHeight="1" x14ac:dyDescent="0.2">
      <c r="L738" s="2"/>
    </row>
    <row r="739" spans="12:12" ht="18.75" customHeight="1" x14ac:dyDescent="0.2">
      <c r="L739" s="2"/>
    </row>
    <row r="740" spans="12:12" ht="18.75" customHeight="1" x14ac:dyDescent="0.2">
      <c r="L740" s="2"/>
    </row>
    <row r="741" spans="12:12" ht="18.75" customHeight="1" x14ac:dyDescent="0.2">
      <c r="L741" s="2"/>
    </row>
    <row r="742" spans="12:12" ht="18.75" customHeight="1" x14ac:dyDescent="0.2">
      <c r="L742" s="2"/>
    </row>
    <row r="743" spans="12:12" ht="18.75" customHeight="1" x14ac:dyDescent="0.2">
      <c r="L743" s="2"/>
    </row>
    <row r="744" spans="12:12" ht="18.75" customHeight="1" x14ac:dyDescent="0.2">
      <c r="L744" s="2"/>
    </row>
    <row r="745" spans="12:12" ht="18.75" customHeight="1" x14ac:dyDescent="0.2">
      <c r="L745" s="2"/>
    </row>
    <row r="746" spans="12:12" ht="18.75" customHeight="1" x14ac:dyDescent="0.2">
      <c r="L746" s="2"/>
    </row>
    <row r="747" spans="12:12" ht="18.75" customHeight="1" x14ac:dyDescent="0.2">
      <c r="L747" s="2"/>
    </row>
    <row r="748" spans="12:12" ht="18.75" customHeight="1" x14ac:dyDescent="0.2">
      <c r="L748" s="2"/>
    </row>
    <row r="749" spans="12:12" ht="18.75" customHeight="1" x14ac:dyDescent="0.2">
      <c r="L749" s="2"/>
    </row>
    <row r="750" spans="12:12" ht="18.75" customHeight="1" x14ac:dyDescent="0.2">
      <c r="L750" s="2"/>
    </row>
    <row r="751" spans="12:12" ht="18.75" customHeight="1" x14ac:dyDescent="0.2">
      <c r="L751" s="2"/>
    </row>
    <row r="752" spans="12:12" ht="18.75" customHeight="1" x14ac:dyDescent="0.2">
      <c r="L752" s="2"/>
    </row>
    <row r="753" spans="12:12" ht="18.75" customHeight="1" x14ac:dyDescent="0.2">
      <c r="L753" s="2"/>
    </row>
    <row r="754" spans="12:12" ht="18.75" customHeight="1" x14ac:dyDescent="0.2">
      <c r="L754" s="2"/>
    </row>
    <row r="755" spans="12:12" ht="18.75" customHeight="1" x14ac:dyDescent="0.2">
      <c r="L755" s="2"/>
    </row>
    <row r="756" spans="12:12" ht="18.75" customHeight="1" x14ac:dyDescent="0.2">
      <c r="L756" s="2"/>
    </row>
    <row r="757" spans="12:12" ht="18.75" customHeight="1" x14ac:dyDescent="0.2">
      <c r="L757" s="2"/>
    </row>
    <row r="758" spans="12:12" ht="18.75" customHeight="1" x14ac:dyDescent="0.2">
      <c r="L758" s="2"/>
    </row>
    <row r="759" spans="12:12" ht="18.75" customHeight="1" x14ac:dyDescent="0.2">
      <c r="L759" s="2"/>
    </row>
    <row r="760" spans="12:12" ht="18.75" customHeight="1" x14ac:dyDescent="0.2">
      <c r="L760" s="2"/>
    </row>
    <row r="761" spans="12:12" ht="18.75" customHeight="1" x14ac:dyDescent="0.2">
      <c r="L761" s="2"/>
    </row>
    <row r="762" spans="12:12" ht="18.75" customHeight="1" x14ac:dyDescent="0.2">
      <c r="L762" s="2"/>
    </row>
    <row r="763" spans="12:12" ht="18.75" customHeight="1" x14ac:dyDescent="0.2">
      <c r="L763" s="2"/>
    </row>
    <row r="764" spans="12:12" ht="18.75" customHeight="1" x14ac:dyDescent="0.2">
      <c r="L764" s="2"/>
    </row>
    <row r="765" spans="12:12" ht="18.75" customHeight="1" x14ac:dyDescent="0.2">
      <c r="L765" s="2"/>
    </row>
    <row r="766" spans="12:12" ht="18.75" customHeight="1" x14ac:dyDescent="0.2">
      <c r="L766" s="2"/>
    </row>
    <row r="767" spans="12:12" ht="18.75" customHeight="1" x14ac:dyDescent="0.2">
      <c r="L767" s="2"/>
    </row>
    <row r="768" spans="12:12" ht="18.75" customHeight="1" x14ac:dyDescent="0.2">
      <c r="L768" s="2"/>
    </row>
    <row r="769" spans="12:12" ht="18.75" customHeight="1" x14ac:dyDescent="0.2">
      <c r="L769" s="2"/>
    </row>
    <row r="770" spans="12:12" ht="18.75" customHeight="1" x14ac:dyDescent="0.2">
      <c r="L770" s="2"/>
    </row>
    <row r="771" spans="12:12" ht="18.75" customHeight="1" x14ac:dyDescent="0.2">
      <c r="L771" s="2"/>
    </row>
    <row r="772" spans="12:12" ht="18.75" customHeight="1" x14ac:dyDescent="0.2">
      <c r="L772" s="2"/>
    </row>
    <row r="773" spans="12:12" ht="18.75" customHeight="1" x14ac:dyDescent="0.2">
      <c r="L773" s="2"/>
    </row>
    <row r="774" spans="12:12" ht="18.75" customHeight="1" x14ac:dyDescent="0.2">
      <c r="L774" s="2"/>
    </row>
    <row r="775" spans="12:12" ht="18.75" customHeight="1" x14ac:dyDescent="0.2">
      <c r="L775" s="2"/>
    </row>
    <row r="776" spans="12:12" ht="18.75" customHeight="1" x14ac:dyDescent="0.2">
      <c r="L776" s="2"/>
    </row>
    <row r="777" spans="12:12" ht="18.75" customHeight="1" x14ac:dyDescent="0.2">
      <c r="L777" s="2"/>
    </row>
    <row r="778" spans="12:12" ht="18.75" customHeight="1" x14ac:dyDescent="0.2">
      <c r="L778" s="2"/>
    </row>
    <row r="779" spans="12:12" ht="18.75" customHeight="1" x14ac:dyDescent="0.2">
      <c r="L779" s="2"/>
    </row>
    <row r="780" spans="12:12" ht="18.75" customHeight="1" x14ac:dyDescent="0.2">
      <c r="L780" s="2"/>
    </row>
    <row r="781" spans="12:12" ht="18.75" customHeight="1" x14ac:dyDescent="0.2">
      <c r="L781" s="2"/>
    </row>
    <row r="782" spans="12:12" ht="18.75" customHeight="1" x14ac:dyDescent="0.2">
      <c r="L782" s="2"/>
    </row>
    <row r="783" spans="12:12" ht="18.75" customHeight="1" x14ac:dyDescent="0.2">
      <c r="L783" s="2"/>
    </row>
    <row r="784" spans="12:12" ht="18.75" customHeight="1" x14ac:dyDescent="0.2">
      <c r="L784" s="2"/>
    </row>
    <row r="785" spans="12:12" ht="18.75" customHeight="1" x14ac:dyDescent="0.2">
      <c r="L785" s="2"/>
    </row>
    <row r="786" spans="12:12" ht="18.75" customHeight="1" x14ac:dyDescent="0.2">
      <c r="L786" s="2"/>
    </row>
    <row r="787" spans="12:12" ht="18.75" customHeight="1" x14ac:dyDescent="0.2">
      <c r="L787" s="2"/>
    </row>
    <row r="788" spans="12:12" ht="18.75" customHeight="1" x14ac:dyDescent="0.2">
      <c r="L788" s="2"/>
    </row>
    <row r="789" spans="12:12" ht="18.75" customHeight="1" x14ac:dyDescent="0.2">
      <c r="L789" s="2"/>
    </row>
    <row r="790" spans="12:12" ht="18.75" customHeight="1" x14ac:dyDescent="0.2">
      <c r="L790" s="2"/>
    </row>
    <row r="791" spans="12:12" ht="18.75" customHeight="1" x14ac:dyDescent="0.2">
      <c r="L791" s="2"/>
    </row>
    <row r="792" spans="12:12" ht="18.75" customHeight="1" x14ac:dyDescent="0.2">
      <c r="L792" s="2"/>
    </row>
    <row r="793" spans="12:12" ht="18.75" customHeight="1" x14ac:dyDescent="0.2">
      <c r="L793" s="2"/>
    </row>
    <row r="794" spans="12:12" ht="18.75" customHeight="1" x14ac:dyDescent="0.2">
      <c r="L794" s="2"/>
    </row>
    <row r="795" spans="12:12" ht="18.75" customHeight="1" x14ac:dyDescent="0.2">
      <c r="L795" s="2"/>
    </row>
    <row r="796" spans="12:12" ht="18.75" customHeight="1" x14ac:dyDescent="0.2">
      <c r="L796" s="2"/>
    </row>
    <row r="797" spans="12:12" ht="18.75" customHeight="1" x14ac:dyDescent="0.2">
      <c r="L797" s="2"/>
    </row>
    <row r="798" spans="12:12" ht="18.75" customHeight="1" x14ac:dyDescent="0.2">
      <c r="L798" s="2"/>
    </row>
    <row r="799" spans="12:12" ht="18.75" customHeight="1" x14ac:dyDescent="0.2">
      <c r="L799" s="2"/>
    </row>
    <row r="800" spans="12:12" ht="18.75" customHeight="1" x14ac:dyDescent="0.2">
      <c r="L800" s="2"/>
    </row>
    <row r="801" spans="12:12" ht="18.75" customHeight="1" x14ac:dyDescent="0.2">
      <c r="L801" s="2"/>
    </row>
    <row r="802" spans="12:12" ht="18.75" customHeight="1" x14ac:dyDescent="0.2">
      <c r="L802" s="2"/>
    </row>
    <row r="803" spans="12:12" ht="18.75" customHeight="1" x14ac:dyDescent="0.2">
      <c r="L803" s="2"/>
    </row>
    <row r="804" spans="12:12" ht="18.75" customHeight="1" x14ac:dyDescent="0.2">
      <c r="L804" s="2"/>
    </row>
    <row r="805" spans="12:12" ht="18.75" customHeight="1" x14ac:dyDescent="0.2">
      <c r="L805" s="2"/>
    </row>
    <row r="806" spans="12:12" ht="18.75" customHeight="1" x14ac:dyDescent="0.2">
      <c r="L806" s="2"/>
    </row>
    <row r="807" spans="12:12" ht="18.75" customHeight="1" x14ac:dyDescent="0.2">
      <c r="L807" s="2"/>
    </row>
    <row r="808" spans="12:12" ht="18.75" customHeight="1" x14ac:dyDescent="0.2">
      <c r="L808" s="2"/>
    </row>
    <row r="809" spans="12:12" ht="18.75" customHeight="1" x14ac:dyDescent="0.2">
      <c r="L809" s="2"/>
    </row>
    <row r="810" spans="12:12" ht="18.75" customHeight="1" x14ac:dyDescent="0.2">
      <c r="L810" s="2"/>
    </row>
    <row r="811" spans="12:12" ht="18.75" customHeight="1" x14ac:dyDescent="0.2">
      <c r="L811" s="2"/>
    </row>
    <row r="812" spans="12:12" ht="18.75" customHeight="1" x14ac:dyDescent="0.2">
      <c r="L812" s="2"/>
    </row>
    <row r="813" spans="12:12" ht="18.75" customHeight="1" x14ac:dyDescent="0.2">
      <c r="L813" s="2"/>
    </row>
    <row r="814" spans="12:12" ht="18.75" customHeight="1" x14ac:dyDescent="0.2">
      <c r="L814" s="2"/>
    </row>
    <row r="815" spans="12:12" ht="18.75" customHeight="1" x14ac:dyDescent="0.2">
      <c r="L815" s="2"/>
    </row>
    <row r="816" spans="12:12" ht="18.75" customHeight="1" x14ac:dyDescent="0.2">
      <c r="L816" s="2"/>
    </row>
    <row r="817" spans="12:12" ht="18.75" customHeight="1" x14ac:dyDescent="0.2">
      <c r="L817" s="2"/>
    </row>
    <row r="818" spans="12:12" ht="18.75" customHeight="1" x14ac:dyDescent="0.2">
      <c r="L818" s="2"/>
    </row>
    <row r="819" spans="12:12" ht="18.75" customHeight="1" x14ac:dyDescent="0.2">
      <c r="L819" s="2"/>
    </row>
    <row r="820" spans="12:12" ht="18.75" customHeight="1" x14ac:dyDescent="0.2">
      <c r="L820" s="2"/>
    </row>
    <row r="821" spans="12:12" ht="18.75" customHeight="1" x14ac:dyDescent="0.2">
      <c r="L821" s="2"/>
    </row>
    <row r="822" spans="12:12" ht="18.75" customHeight="1" x14ac:dyDescent="0.2">
      <c r="L822" s="2"/>
    </row>
    <row r="823" spans="12:12" ht="18.75" customHeight="1" x14ac:dyDescent="0.2">
      <c r="L823" s="2"/>
    </row>
    <row r="824" spans="12:12" ht="18.75" customHeight="1" x14ac:dyDescent="0.2">
      <c r="L824" s="2"/>
    </row>
    <row r="825" spans="12:12" ht="18.75" customHeight="1" x14ac:dyDescent="0.2">
      <c r="L825" s="2"/>
    </row>
    <row r="826" spans="12:12" ht="18.75" customHeight="1" x14ac:dyDescent="0.2">
      <c r="L826" s="2"/>
    </row>
    <row r="827" spans="12:12" ht="18.75" customHeight="1" x14ac:dyDescent="0.2">
      <c r="L827" s="2"/>
    </row>
    <row r="828" spans="12:12" ht="18.75" customHeight="1" x14ac:dyDescent="0.2">
      <c r="L828" s="2"/>
    </row>
    <row r="829" spans="12:12" ht="18.75" customHeight="1" x14ac:dyDescent="0.2">
      <c r="L829" s="2"/>
    </row>
    <row r="830" spans="12:12" ht="18.75" customHeight="1" x14ac:dyDescent="0.2">
      <c r="L830" s="2"/>
    </row>
    <row r="831" spans="12:12" ht="18.75" customHeight="1" x14ac:dyDescent="0.2">
      <c r="L831" s="2"/>
    </row>
    <row r="832" spans="12:12" ht="18.75" customHeight="1" x14ac:dyDescent="0.2">
      <c r="L832" s="2"/>
    </row>
    <row r="833" spans="12:12" ht="18.75" customHeight="1" x14ac:dyDescent="0.2">
      <c r="L833" s="2"/>
    </row>
    <row r="834" spans="12:12" ht="18.75" customHeight="1" x14ac:dyDescent="0.2">
      <c r="L834" s="2"/>
    </row>
    <row r="835" spans="12:12" ht="18.75" customHeight="1" x14ac:dyDescent="0.2">
      <c r="L835" s="2"/>
    </row>
    <row r="836" spans="12:12" ht="18.75" customHeight="1" x14ac:dyDescent="0.2">
      <c r="L836" s="2"/>
    </row>
    <row r="837" spans="12:12" ht="18.75" customHeight="1" x14ac:dyDescent="0.2">
      <c r="L837" s="2"/>
    </row>
    <row r="838" spans="12:12" ht="18.75" customHeight="1" x14ac:dyDescent="0.2">
      <c r="L838" s="2"/>
    </row>
    <row r="839" spans="12:12" ht="18.75" customHeight="1" x14ac:dyDescent="0.2">
      <c r="L839" s="2"/>
    </row>
    <row r="840" spans="12:12" ht="18.75" customHeight="1" x14ac:dyDescent="0.2">
      <c r="L840" s="2"/>
    </row>
    <row r="841" spans="12:12" ht="18.75" customHeight="1" x14ac:dyDescent="0.2">
      <c r="L841" s="2"/>
    </row>
    <row r="842" spans="12:12" ht="18.75" customHeight="1" x14ac:dyDescent="0.2">
      <c r="L842" s="2"/>
    </row>
    <row r="843" spans="12:12" ht="18.75" customHeight="1" x14ac:dyDescent="0.2">
      <c r="L843" s="2"/>
    </row>
    <row r="844" spans="12:12" ht="18.75" customHeight="1" x14ac:dyDescent="0.2">
      <c r="L844" s="2"/>
    </row>
    <row r="845" spans="12:12" ht="18.75" customHeight="1" x14ac:dyDescent="0.2">
      <c r="L845" s="2"/>
    </row>
    <row r="846" spans="12:12" ht="18.75" customHeight="1" x14ac:dyDescent="0.2">
      <c r="L846" s="2"/>
    </row>
    <row r="847" spans="12:12" ht="18.75" customHeight="1" x14ac:dyDescent="0.2">
      <c r="L847" s="2"/>
    </row>
    <row r="848" spans="12:12" ht="18.75" customHeight="1" x14ac:dyDescent="0.2">
      <c r="L848" s="2"/>
    </row>
    <row r="849" spans="12:12" ht="18.75" customHeight="1" x14ac:dyDescent="0.2">
      <c r="L849" s="2"/>
    </row>
    <row r="850" spans="12:12" ht="18.75" customHeight="1" x14ac:dyDescent="0.2">
      <c r="L850" s="2"/>
    </row>
    <row r="851" spans="12:12" ht="18.75" customHeight="1" x14ac:dyDescent="0.2">
      <c r="L851" s="2"/>
    </row>
    <row r="852" spans="12:12" ht="18.75" customHeight="1" x14ac:dyDescent="0.2">
      <c r="L852" s="2"/>
    </row>
    <row r="853" spans="12:12" ht="18.75" customHeight="1" x14ac:dyDescent="0.2">
      <c r="L853" s="2"/>
    </row>
    <row r="854" spans="12:12" ht="18.75" customHeight="1" x14ac:dyDescent="0.2">
      <c r="L854" s="2"/>
    </row>
    <row r="855" spans="12:12" ht="18.75" customHeight="1" x14ac:dyDescent="0.2">
      <c r="L855" s="2"/>
    </row>
    <row r="856" spans="12:12" ht="18.75" customHeight="1" x14ac:dyDescent="0.2">
      <c r="L856" s="2"/>
    </row>
    <row r="857" spans="12:12" ht="18.75" customHeight="1" x14ac:dyDescent="0.2">
      <c r="L857" s="2"/>
    </row>
    <row r="858" spans="12:12" ht="18.75" customHeight="1" x14ac:dyDescent="0.2">
      <c r="L858" s="2"/>
    </row>
    <row r="859" spans="12:12" ht="18.75" customHeight="1" x14ac:dyDescent="0.2">
      <c r="L859" s="2"/>
    </row>
    <row r="860" spans="12:12" ht="18.75" customHeight="1" x14ac:dyDescent="0.2">
      <c r="L860" s="2"/>
    </row>
    <row r="861" spans="12:12" ht="18.75" customHeight="1" x14ac:dyDescent="0.2">
      <c r="L861" s="2"/>
    </row>
    <row r="862" spans="12:12" ht="18.75" customHeight="1" x14ac:dyDescent="0.2">
      <c r="L862" s="2"/>
    </row>
    <row r="863" spans="12:12" ht="18.75" customHeight="1" x14ac:dyDescent="0.2">
      <c r="L863" s="2"/>
    </row>
    <row r="864" spans="12:12" ht="18.75" customHeight="1" x14ac:dyDescent="0.2">
      <c r="L864" s="2"/>
    </row>
    <row r="865" spans="12:12" ht="18.75" customHeight="1" x14ac:dyDescent="0.2">
      <c r="L865" s="2"/>
    </row>
    <row r="866" spans="12:12" ht="18.75" customHeight="1" x14ac:dyDescent="0.2">
      <c r="L866" s="2"/>
    </row>
    <row r="867" spans="12:12" ht="18.75" customHeight="1" x14ac:dyDescent="0.2">
      <c r="L867" s="2"/>
    </row>
    <row r="868" spans="12:12" ht="18.75" customHeight="1" x14ac:dyDescent="0.2">
      <c r="L868" s="2"/>
    </row>
    <row r="869" spans="12:12" ht="18.75" customHeight="1" x14ac:dyDescent="0.2">
      <c r="L869" s="2"/>
    </row>
    <row r="870" spans="12:12" ht="18.75" customHeight="1" x14ac:dyDescent="0.2">
      <c r="L870" s="2"/>
    </row>
    <row r="871" spans="12:12" ht="18.75" customHeight="1" x14ac:dyDescent="0.2">
      <c r="L871" s="2"/>
    </row>
    <row r="872" spans="12:12" ht="18.75" customHeight="1" x14ac:dyDescent="0.2">
      <c r="L872" s="2"/>
    </row>
    <row r="873" spans="12:12" ht="18.75" customHeight="1" x14ac:dyDescent="0.2">
      <c r="L873" s="2"/>
    </row>
    <row r="874" spans="12:12" ht="18.75" customHeight="1" x14ac:dyDescent="0.2">
      <c r="L874" s="2"/>
    </row>
    <row r="875" spans="12:12" ht="18.75" customHeight="1" x14ac:dyDescent="0.2">
      <c r="L875" s="2"/>
    </row>
    <row r="876" spans="12:12" ht="18.75" customHeight="1" x14ac:dyDescent="0.2">
      <c r="L876" s="2"/>
    </row>
    <row r="877" spans="12:12" ht="18.75" customHeight="1" x14ac:dyDescent="0.2">
      <c r="L877" s="2"/>
    </row>
    <row r="878" spans="12:12" ht="18.75" customHeight="1" x14ac:dyDescent="0.2">
      <c r="L878" s="2"/>
    </row>
    <row r="879" spans="12:12" ht="18.75" customHeight="1" x14ac:dyDescent="0.2">
      <c r="L879" s="2"/>
    </row>
    <row r="880" spans="12:12" ht="18.75" customHeight="1" x14ac:dyDescent="0.2">
      <c r="L880" s="2"/>
    </row>
    <row r="881" spans="12:12" ht="18.75" customHeight="1" x14ac:dyDescent="0.2">
      <c r="L881" s="2"/>
    </row>
    <row r="882" spans="12:12" ht="18.75" customHeight="1" x14ac:dyDescent="0.2">
      <c r="L882" s="2"/>
    </row>
    <row r="883" spans="12:12" ht="18.75" customHeight="1" x14ac:dyDescent="0.2">
      <c r="L883" s="2"/>
    </row>
    <row r="884" spans="12:12" ht="18.75" customHeight="1" x14ac:dyDescent="0.2">
      <c r="L884" s="2"/>
    </row>
    <row r="885" spans="12:12" ht="18.75" customHeight="1" x14ac:dyDescent="0.2">
      <c r="L885" s="2"/>
    </row>
    <row r="886" spans="12:12" ht="18.75" customHeight="1" x14ac:dyDescent="0.2">
      <c r="L886" s="2"/>
    </row>
    <row r="887" spans="12:12" ht="18.75" customHeight="1" x14ac:dyDescent="0.2">
      <c r="L887" s="2"/>
    </row>
    <row r="888" spans="12:12" ht="18.75" customHeight="1" x14ac:dyDescent="0.2">
      <c r="L888" s="2"/>
    </row>
    <row r="889" spans="12:12" ht="18.75" customHeight="1" x14ac:dyDescent="0.2">
      <c r="L889" s="2"/>
    </row>
    <row r="890" spans="12:12" ht="18.75" customHeight="1" x14ac:dyDescent="0.2">
      <c r="L890" s="2"/>
    </row>
    <row r="891" spans="12:12" ht="18.75" customHeight="1" x14ac:dyDescent="0.2">
      <c r="L891" s="2"/>
    </row>
    <row r="892" spans="12:12" ht="18.75" customHeight="1" x14ac:dyDescent="0.2">
      <c r="L892" s="2"/>
    </row>
    <row r="893" spans="12:12" ht="18.75" customHeight="1" x14ac:dyDescent="0.2">
      <c r="L893" s="2"/>
    </row>
    <row r="894" spans="12:12" ht="18.75" customHeight="1" x14ac:dyDescent="0.2">
      <c r="L894" s="2"/>
    </row>
    <row r="895" spans="12:12" ht="18.75" customHeight="1" x14ac:dyDescent="0.2">
      <c r="L895" s="2"/>
    </row>
    <row r="896" spans="12:12" ht="18.75" customHeight="1" x14ac:dyDescent="0.2">
      <c r="L896" s="2"/>
    </row>
    <row r="897" spans="12:12" ht="18.75" customHeight="1" x14ac:dyDescent="0.2">
      <c r="L897" s="2"/>
    </row>
    <row r="898" spans="12:12" ht="18.75" customHeight="1" x14ac:dyDescent="0.2">
      <c r="L898" s="2"/>
    </row>
    <row r="899" spans="12:12" ht="18.75" customHeight="1" x14ac:dyDescent="0.2">
      <c r="L899" s="2"/>
    </row>
    <row r="900" spans="12:12" ht="18.75" customHeight="1" x14ac:dyDescent="0.2">
      <c r="L900" s="2"/>
    </row>
    <row r="901" spans="12:12" ht="18.75" customHeight="1" x14ac:dyDescent="0.2">
      <c r="L901" s="2"/>
    </row>
    <row r="902" spans="12:12" ht="18.75" customHeight="1" x14ac:dyDescent="0.2">
      <c r="L902" s="2"/>
    </row>
    <row r="903" spans="12:12" ht="18.75" customHeight="1" x14ac:dyDescent="0.2">
      <c r="L903" s="2"/>
    </row>
    <row r="904" spans="12:12" ht="18.75" customHeight="1" x14ac:dyDescent="0.2">
      <c r="L904" s="2"/>
    </row>
    <row r="905" spans="12:12" ht="18.75" customHeight="1" x14ac:dyDescent="0.2">
      <c r="L905" s="2"/>
    </row>
    <row r="906" spans="12:12" ht="18.75" customHeight="1" x14ac:dyDescent="0.2">
      <c r="L906" s="2"/>
    </row>
    <row r="907" spans="12:12" ht="18.75" customHeight="1" x14ac:dyDescent="0.2">
      <c r="L907" s="2"/>
    </row>
    <row r="908" spans="12:12" ht="18.75" customHeight="1" x14ac:dyDescent="0.2">
      <c r="L908" s="2"/>
    </row>
    <row r="909" spans="12:12" ht="18.75" customHeight="1" x14ac:dyDescent="0.2">
      <c r="L909" s="2"/>
    </row>
    <row r="910" spans="12:12" ht="18.75" customHeight="1" x14ac:dyDescent="0.2">
      <c r="L910" s="2"/>
    </row>
    <row r="911" spans="12:12" ht="18.75" customHeight="1" x14ac:dyDescent="0.2">
      <c r="L911" s="2"/>
    </row>
    <row r="912" spans="12:12" ht="18.75" customHeight="1" x14ac:dyDescent="0.2">
      <c r="L912" s="2"/>
    </row>
    <row r="913" spans="12:12" ht="18.75" customHeight="1" x14ac:dyDescent="0.2">
      <c r="L913" s="2"/>
    </row>
    <row r="914" spans="12:12" ht="18.75" customHeight="1" x14ac:dyDescent="0.2">
      <c r="L914" s="2"/>
    </row>
    <row r="915" spans="12:12" ht="18.75" customHeight="1" x14ac:dyDescent="0.2">
      <c r="L915" s="2"/>
    </row>
    <row r="916" spans="12:12" ht="18.75" customHeight="1" x14ac:dyDescent="0.2">
      <c r="L916" s="2"/>
    </row>
    <row r="917" spans="12:12" ht="18.75" customHeight="1" x14ac:dyDescent="0.2">
      <c r="L917" s="2"/>
    </row>
    <row r="918" spans="12:12" ht="18.75" customHeight="1" x14ac:dyDescent="0.2">
      <c r="L918" s="2"/>
    </row>
    <row r="919" spans="12:12" ht="18.75" customHeight="1" x14ac:dyDescent="0.2">
      <c r="L919" s="2"/>
    </row>
    <row r="920" spans="12:12" ht="18.75" customHeight="1" x14ac:dyDescent="0.2">
      <c r="L920" s="2"/>
    </row>
    <row r="921" spans="12:12" ht="18.75" customHeight="1" x14ac:dyDescent="0.2">
      <c r="L921" s="2"/>
    </row>
    <row r="922" spans="12:12" ht="18.75" customHeight="1" x14ac:dyDescent="0.2">
      <c r="L922" s="2"/>
    </row>
    <row r="923" spans="12:12" ht="18.75" customHeight="1" x14ac:dyDescent="0.2">
      <c r="L923" s="2"/>
    </row>
    <row r="924" spans="12:12" ht="18.75" customHeight="1" x14ac:dyDescent="0.2">
      <c r="L924" s="2"/>
    </row>
    <row r="925" spans="12:12" ht="18.75" customHeight="1" x14ac:dyDescent="0.2">
      <c r="L925" s="2"/>
    </row>
    <row r="926" spans="12:12" ht="18.75" customHeight="1" x14ac:dyDescent="0.2">
      <c r="L926" s="2"/>
    </row>
    <row r="927" spans="12:12" ht="18.75" customHeight="1" x14ac:dyDescent="0.2">
      <c r="L927" s="2"/>
    </row>
    <row r="928" spans="12:12" ht="18.75" customHeight="1" x14ac:dyDescent="0.2">
      <c r="L928" s="2"/>
    </row>
    <row r="929" spans="12:12" ht="18.75" customHeight="1" x14ac:dyDescent="0.2">
      <c r="L929" s="2"/>
    </row>
    <row r="930" spans="12:12" ht="18.75" customHeight="1" x14ac:dyDescent="0.2">
      <c r="L930" s="2"/>
    </row>
    <row r="931" spans="12:12" ht="18.75" customHeight="1" x14ac:dyDescent="0.2">
      <c r="L931" s="2"/>
    </row>
    <row r="932" spans="12:12" ht="18.75" customHeight="1" x14ac:dyDescent="0.2">
      <c r="L932" s="2"/>
    </row>
    <row r="933" spans="12:12" ht="18.75" customHeight="1" x14ac:dyDescent="0.2">
      <c r="L933" s="2"/>
    </row>
    <row r="934" spans="12:12" ht="18.75" customHeight="1" x14ac:dyDescent="0.2">
      <c r="L934" s="2"/>
    </row>
    <row r="935" spans="12:12" ht="18.75" customHeight="1" x14ac:dyDescent="0.2">
      <c r="L935" s="2"/>
    </row>
    <row r="936" spans="12:12" ht="18.75" customHeight="1" x14ac:dyDescent="0.2">
      <c r="L936" s="2"/>
    </row>
    <row r="937" spans="12:12" ht="18.75" customHeight="1" x14ac:dyDescent="0.2">
      <c r="L937" s="2"/>
    </row>
    <row r="938" spans="12:12" ht="18.75" customHeight="1" x14ac:dyDescent="0.2">
      <c r="L938" s="2"/>
    </row>
    <row r="939" spans="12:12" ht="18.75" customHeight="1" x14ac:dyDescent="0.2">
      <c r="L939" s="2"/>
    </row>
    <row r="940" spans="12:12" ht="18.75" customHeight="1" x14ac:dyDescent="0.2">
      <c r="L940" s="2"/>
    </row>
    <row r="941" spans="12:12" ht="18.75" customHeight="1" x14ac:dyDescent="0.2">
      <c r="L941" s="2"/>
    </row>
    <row r="942" spans="12:12" ht="18.75" customHeight="1" x14ac:dyDescent="0.2">
      <c r="L942" s="2"/>
    </row>
    <row r="943" spans="12:12" ht="18.75" customHeight="1" x14ac:dyDescent="0.2">
      <c r="L943" s="2"/>
    </row>
    <row r="944" spans="12:12" ht="18.75" customHeight="1" x14ac:dyDescent="0.2">
      <c r="L944" s="2"/>
    </row>
    <row r="945" spans="12:12" ht="18.75" customHeight="1" x14ac:dyDescent="0.2">
      <c r="L945" s="2"/>
    </row>
    <row r="946" spans="12:12" ht="18.75" customHeight="1" x14ac:dyDescent="0.2">
      <c r="L946" s="2"/>
    </row>
    <row r="947" spans="12:12" ht="18.75" customHeight="1" x14ac:dyDescent="0.2">
      <c r="L947" s="2"/>
    </row>
    <row r="948" spans="12:12" ht="18.75" customHeight="1" x14ac:dyDescent="0.2">
      <c r="L948" s="2"/>
    </row>
    <row r="949" spans="12:12" ht="18.75" customHeight="1" x14ac:dyDescent="0.2">
      <c r="L949" s="2"/>
    </row>
    <row r="950" spans="12:12" ht="18.75" customHeight="1" x14ac:dyDescent="0.2">
      <c r="L950" s="2"/>
    </row>
    <row r="951" spans="12:12" ht="18.75" customHeight="1" x14ac:dyDescent="0.2">
      <c r="L951" s="2"/>
    </row>
    <row r="952" spans="12:12" ht="18.75" customHeight="1" x14ac:dyDescent="0.2">
      <c r="L952" s="2"/>
    </row>
  </sheetData>
  <autoFilter ref="B1:AC952" xr:uid="{00000000-0009-0000-0000-000000000000}"/>
  <dataValidations count="2">
    <dataValidation type="list" allowBlank="1" showErrorMessage="1" sqref="A2:A103" xr:uid="{00000000-0002-0000-0000-000000000000}">
      <formula1>"Physical and Chemical Sciences,Earth and Environmental Sciences,Life and Health Sciences,Engineering and Technology,Social and Risk Sciences"</formula1>
    </dataValidation>
    <dataValidation type="list" allowBlank="1" showErrorMessage="1" sqref="G2:K103" xr:uid="{00000000-0002-0000-0000-000001000000}">
      <formula1>"yes, fully,yes, partially,no, barely,not at all,I am not able to answer this question"</formula1>
    </dataValidation>
  </dataValidations>
  <hyperlinks>
    <hyperlink ref="E2" r:id="rId1" display="https://github.com/mabablue/I-ADOPT-examples-playground/issues/8" xr:uid="{00000000-0004-0000-0000-000000000000}"/>
    <hyperlink ref="E3" r:id="rId2" display="https://github.com/mabablue/I-ADOPT-examples-playground/issues/104" xr:uid="{00000000-0004-0000-0000-000001000000}"/>
    <hyperlink ref="E4" r:id="rId3" display="https://github.com/mabablue/I-ADOPT-examples-playground/issues/11" xr:uid="{00000000-0004-0000-0000-000002000000}"/>
    <hyperlink ref="E5" r:id="rId4" display="https://github.com/mabablue/I-ADOPT-examples-playground/issues/10" xr:uid="{00000000-0004-0000-0000-000003000000}"/>
    <hyperlink ref="E6" r:id="rId5" display="https://github.com/mabablue/I-ADOPT-examples-playground/issues/94" xr:uid="{00000000-0004-0000-0000-000004000000}"/>
    <hyperlink ref="E7" r:id="rId6" display="https://github.com/mabablue/I-ADOPT-examples-playground/issues/24" xr:uid="{00000000-0004-0000-0000-000005000000}"/>
    <hyperlink ref="E8" r:id="rId7" display="https://github.com/mabablue/I-ADOPT-examples-playground/issues/27" xr:uid="{00000000-0004-0000-0000-000006000000}"/>
    <hyperlink ref="E9" r:id="rId8" display="https://github.com/mabablue/I-ADOPT-examples-playground/issues/107" xr:uid="{00000000-0004-0000-0000-000007000000}"/>
    <hyperlink ref="E10" r:id="rId9" display="https://github.com/mabablue/I-ADOPT-examples-playground/issues/78" xr:uid="{00000000-0004-0000-0000-000008000000}"/>
    <hyperlink ref="E11" r:id="rId10" display="https://github.com/mabablue/I-ADOPT-examples-playground/issues/108" xr:uid="{00000000-0004-0000-0000-000009000000}"/>
    <hyperlink ref="E12" r:id="rId11" display="https://github.com/mabablue/I-ADOPT-examples-playground/issues/2" xr:uid="{00000000-0004-0000-0000-00000A000000}"/>
    <hyperlink ref="E13" r:id="rId12" display="https://github.com/mabablue/I-ADOPT-examples-playground/issues/9" xr:uid="{00000000-0004-0000-0000-00000B000000}"/>
    <hyperlink ref="E14" r:id="rId13" display="https://github.com/mabablue/I-ADOPT-examples-playground/issues/14" xr:uid="{00000000-0004-0000-0000-00000C000000}"/>
    <hyperlink ref="E15" r:id="rId14" display="https://github.com/mabablue/I-ADOPT-examples-playground/issues/121" xr:uid="{00000000-0004-0000-0000-00000D000000}"/>
    <hyperlink ref="E16" r:id="rId15" display="https://github.com/mabablue/I-ADOPT-examples-playground/issues/26" xr:uid="{00000000-0004-0000-0000-00000E000000}"/>
    <hyperlink ref="E17" r:id="rId16" display="https://github.com/mabablue/I-ADOPT-examples-playground/issues/119" xr:uid="{00000000-0004-0000-0000-00000F000000}"/>
    <hyperlink ref="E18" r:id="rId17" display="https://github.com/mabablue/I-ADOPT-examples-playground/issues/89" xr:uid="{00000000-0004-0000-0000-000010000000}"/>
    <hyperlink ref="E19" r:id="rId18" display="https://github.com/mabablue/I-ADOPT-examples-playground/issues/33" xr:uid="{00000000-0004-0000-0000-000011000000}"/>
    <hyperlink ref="E20" r:id="rId19" display="https://github.com/mabablue/I-ADOPT-examples-playground/issues/112" xr:uid="{00000000-0004-0000-0000-000012000000}"/>
    <hyperlink ref="E21" r:id="rId20" display="https://github.com/mabablue/I-ADOPT-examples-playground/issues/28" xr:uid="{00000000-0004-0000-0000-000013000000}"/>
    <hyperlink ref="E22" r:id="rId21" display="https://github.com/mabablue/I-ADOPT-examples-playground/issues/124" xr:uid="{00000000-0004-0000-0000-000014000000}"/>
    <hyperlink ref="E23" r:id="rId22" display="https://github.com/mabablue/I-ADOPT-examples-playground/issues/113" xr:uid="{00000000-0004-0000-0000-000015000000}"/>
    <hyperlink ref="E24" r:id="rId23" display="https://github.com/mabablue/I-ADOPT-examples-playground/issues/36" xr:uid="{00000000-0004-0000-0000-000016000000}"/>
    <hyperlink ref="L24" r:id="rId24" xr:uid="{00000000-0004-0000-0000-000017000000}"/>
    <hyperlink ref="E25" r:id="rId25" display="https://github.com/mabablue/I-ADOPT-examples-playground/issues/85" xr:uid="{00000000-0004-0000-0000-000018000000}"/>
    <hyperlink ref="E26" r:id="rId26" display="https://github.com/mabablue/I-ADOPT-examples-playground/issues/102" xr:uid="{00000000-0004-0000-0000-000019000000}"/>
    <hyperlink ref="E27" r:id="rId27" display="https://github.com/mabablue/I-ADOPT-examples-playground/issues/62" xr:uid="{00000000-0004-0000-0000-00001A000000}"/>
    <hyperlink ref="E28" r:id="rId28" display="https://github.com/mabablue/I-ADOPT-examples-playground/issues/19" xr:uid="{00000000-0004-0000-0000-00001B000000}"/>
    <hyperlink ref="E29" r:id="rId29" display="https://github.com/mabablue/I-ADOPT-examples-playground/issues/23" xr:uid="{00000000-0004-0000-0000-00001C000000}"/>
    <hyperlink ref="E30" r:id="rId30" display="https://github.com/mabablue/I-ADOPT-examples-playground/issues/29" xr:uid="{00000000-0004-0000-0000-00001D000000}"/>
    <hyperlink ref="E31" r:id="rId31" display="https://github.com/mabablue/I-ADOPT-examples-playground/issues/30" xr:uid="{00000000-0004-0000-0000-00001E000000}"/>
    <hyperlink ref="E32" r:id="rId32" display="https://github.com/mabablue/I-ADOPT-examples-playground/issues/31" xr:uid="{00000000-0004-0000-0000-00001F000000}"/>
    <hyperlink ref="E33" r:id="rId33" display="https://github.com/mabablue/I-ADOPT-examples-playground/issues/37" xr:uid="{00000000-0004-0000-0000-000020000000}"/>
    <hyperlink ref="E34" r:id="rId34" display="https://github.com/mabablue/I-ADOPT-examples-playground/issues/42" xr:uid="{00000000-0004-0000-0000-000021000000}"/>
    <hyperlink ref="E35" r:id="rId35" display="https://github.com/mabablue/I-ADOPT-examples-playground/issues/7" xr:uid="{00000000-0004-0000-0000-000022000000}"/>
    <hyperlink ref="E36" r:id="rId36" display="https://github.com/mabablue/I-ADOPT-examples-playground/issues/81" xr:uid="{00000000-0004-0000-0000-000023000000}"/>
    <hyperlink ref="E37" r:id="rId37" display="https://github.com/mabablue/I-ADOPT-examples-playground/issues/20" xr:uid="{00000000-0004-0000-0000-000024000000}"/>
    <hyperlink ref="E38" r:id="rId38" display="https://github.com/mabablue/I-ADOPT-examples-playground/issues/98" xr:uid="{00000000-0004-0000-0000-000025000000}"/>
    <hyperlink ref="E39" r:id="rId39" display="https://github.com/mabablue/I-ADOPT-examples-playground/issues/15" xr:uid="{00000000-0004-0000-0000-000026000000}"/>
    <hyperlink ref="E40" r:id="rId40" display="https://github.com/mabablue/I-ADOPT-examples-playground/issues/21" xr:uid="{00000000-0004-0000-0000-000027000000}"/>
    <hyperlink ref="E41" r:id="rId41" display="https://github.com/mabablue/I-ADOPT-examples-playground/issues/90" xr:uid="{00000000-0004-0000-0000-000028000000}"/>
    <hyperlink ref="E42" r:id="rId42" display="https://github.com/mabablue/I-ADOPT-examples-playground/issues/50" xr:uid="{00000000-0004-0000-0000-000029000000}"/>
    <hyperlink ref="E43" r:id="rId43" display="https://github.com/mabablue/I-ADOPT-examples-playground/issues/44" xr:uid="{00000000-0004-0000-0000-00002A000000}"/>
    <hyperlink ref="E44" r:id="rId44" display="https://github.com/mabablue/I-ADOPT-examples-playground/issues/130" xr:uid="{00000000-0004-0000-0000-00002B000000}"/>
    <hyperlink ref="E45" r:id="rId45" display="https://github.com/mabablue/I-ADOPT-examples-playground/issues/106" xr:uid="{00000000-0004-0000-0000-00002C000000}"/>
    <hyperlink ref="E46" r:id="rId46" display="https://github.com/mabablue/I-ADOPT-examples-playground/issues/111" xr:uid="{00000000-0004-0000-0000-00002D000000}"/>
    <hyperlink ref="E47" r:id="rId47" display="https://github.com/mabablue/I-ADOPT-examples-playground/issues/110" xr:uid="{00000000-0004-0000-0000-00002E000000}"/>
    <hyperlink ref="E48" r:id="rId48" display="https://github.com/mabablue/I-ADOPT-examples-playground/issues/135" xr:uid="{00000000-0004-0000-0000-00002F000000}"/>
    <hyperlink ref="E49" r:id="rId49" display="https://github.com/mabablue/I-ADOPT-examples-playground/issues/100" xr:uid="{00000000-0004-0000-0000-000030000000}"/>
    <hyperlink ref="E50" r:id="rId50" display="https://github.com/mabablue/I-ADOPT-examples-playground/issues/80" xr:uid="{00000000-0004-0000-0000-000031000000}"/>
    <hyperlink ref="E51" r:id="rId51" display="https://github.com/mabablue/I-ADOPT-examples-playground/issues/88" xr:uid="{00000000-0004-0000-0000-000032000000}"/>
    <hyperlink ref="E52" r:id="rId52" display="https://github.com/mabablue/I-ADOPT-examples-playground/issues/127" xr:uid="{00000000-0004-0000-0000-000033000000}"/>
    <hyperlink ref="L52" r:id="rId53" xr:uid="{00000000-0004-0000-0000-000034000000}"/>
    <hyperlink ref="E53" r:id="rId54" display="https://github.com/mabablue/I-ADOPT-examples-playground/issues/12" xr:uid="{00000000-0004-0000-0000-000035000000}"/>
    <hyperlink ref="E54" r:id="rId55" display="https://github.com/mabablue/I-ADOPT-examples-playground/issues/126" xr:uid="{00000000-0004-0000-0000-000036000000}"/>
    <hyperlink ref="E55" r:id="rId56" display="https://github.com/mabablue/I-ADOPT-examples-playground/issues/13" xr:uid="{00000000-0004-0000-0000-000037000000}"/>
    <hyperlink ref="N55" r:id="rId57" xr:uid="{00000000-0004-0000-0000-000038000000}"/>
    <hyperlink ref="E56" r:id="rId58" display="https://github.com/mabablue/I-ADOPT-examples-playground/issues/105" xr:uid="{00000000-0004-0000-0000-000039000000}"/>
    <hyperlink ref="E57" r:id="rId59" display="https://github.com/mabablue/I-ADOPT-examples-playground/issues/115" xr:uid="{00000000-0004-0000-0000-00003A000000}"/>
    <hyperlink ref="E58" r:id="rId60" display="https://github.com/mabablue/I-ADOPT-examples-playground/issues/79" xr:uid="{00000000-0004-0000-0000-00003B000000}"/>
    <hyperlink ref="E59" r:id="rId61" display="https://github.com/mabablue/I-ADOPT-examples-playground/issues/35" xr:uid="{00000000-0004-0000-0000-00003C000000}"/>
    <hyperlink ref="E60" r:id="rId62" display="https://github.com/mabablue/I-ADOPT-examples-playground/issues/116" xr:uid="{00000000-0004-0000-0000-00003D000000}"/>
    <hyperlink ref="E61" r:id="rId63" display="https://github.com/mabablue/I-ADOPT-examples-playground/issues/38" xr:uid="{00000000-0004-0000-0000-00003E000000}"/>
    <hyperlink ref="E62" r:id="rId64" display="https://github.com/mabablue/I-ADOPT-examples-playground/issues/91" xr:uid="{00000000-0004-0000-0000-00003F000000}"/>
    <hyperlink ref="E63" r:id="rId65" display="https://github.com/mabablue/I-ADOPT-examples-playground/issues/92" xr:uid="{00000000-0004-0000-0000-000040000000}"/>
    <hyperlink ref="E64" r:id="rId66" display="https://github.com/mabablue/I-ADOPT-examples-playground/issues/93" xr:uid="{00000000-0004-0000-0000-000041000000}"/>
    <hyperlink ref="E65" r:id="rId67" display="https://github.com/mabablue/I-ADOPT-examples-playground/issues/117" xr:uid="{00000000-0004-0000-0000-000042000000}"/>
    <hyperlink ref="L65" r:id="rId68" xr:uid="{00000000-0004-0000-0000-000043000000}"/>
    <hyperlink ref="E66" r:id="rId69" display="https://github.com/mabablue/I-ADOPT-examples-playground/issues/118" xr:uid="{00000000-0004-0000-0000-000044000000}"/>
    <hyperlink ref="E67" r:id="rId70" display="https://github.com/mabablue/I-ADOPT-examples-playground/issues/34" xr:uid="{00000000-0004-0000-0000-000045000000}"/>
    <hyperlink ref="E68" r:id="rId71" display="https://github.com/mabablue/I-ADOPT-examples-playground/issues/16" xr:uid="{00000000-0004-0000-0000-000046000000}"/>
    <hyperlink ref="E69" r:id="rId72" display="https://github.com/mabablue/I-ADOPT-examples-playground/issues/129" xr:uid="{00000000-0004-0000-0000-000047000000}"/>
    <hyperlink ref="E70" r:id="rId73" display="https://github.com/mabablue/I-ADOPT-examples-playground/issues/96" xr:uid="{00000000-0004-0000-0000-000048000000}"/>
    <hyperlink ref="E71" r:id="rId74" display="https://github.com/mabablue/I-ADOPT-examples-playground/issues/87" xr:uid="{00000000-0004-0000-0000-000049000000}"/>
    <hyperlink ref="E72" r:id="rId75" display="https://github.com/mabablue/I-ADOPT-examples-playground/issues/97" xr:uid="{00000000-0004-0000-0000-00004A000000}"/>
    <hyperlink ref="E73" r:id="rId76" display="https://github.com/mabablue/I-ADOPT-examples-playground/issues/133" xr:uid="{00000000-0004-0000-0000-00004B000000}"/>
    <hyperlink ref="E74" r:id="rId77" display="https://github.com/mabablue/I-ADOPT-examples-playground/issues/125" xr:uid="{00000000-0004-0000-0000-00004C000000}"/>
    <hyperlink ref="E75" r:id="rId78" display="https://github.com/mabablue/I-ADOPT-examples-playground/issues/18" xr:uid="{00000000-0004-0000-0000-00004D000000}"/>
    <hyperlink ref="E76" r:id="rId79" display="https://github.com/mabablue/I-ADOPT-examples-playground/issues/61" xr:uid="{00000000-0004-0000-0000-00004E000000}"/>
    <hyperlink ref="E77" r:id="rId80" display="https://github.com/mabablue/I-ADOPT-examples-playground/issues/63" xr:uid="{00000000-0004-0000-0000-00004F000000}"/>
    <hyperlink ref="E78" r:id="rId81" display="https://github.com/mabablue/I-ADOPT-examples-playground/issues/67" xr:uid="{00000000-0004-0000-0000-000050000000}"/>
    <hyperlink ref="E79" r:id="rId82" display="https://github.com/mabablue/I-ADOPT-examples-playground/issues/64" xr:uid="{00000000-0004-0000-0000-000051000000}"/>
    <hyperlink ref="E80" r:id="rId83" display="https://github.com/mabablue/I-ADOPT-examples-playground/issues/134" xr:uid="{00000000-0004-0000-0000-000052000000}"/>
    <hyperlink ref="E81" r:id="rId84" display="https://github.com/mabablue/I-ADOPT-examples-playground/issues/32" xr:uid="{00000000-0004-0000-0000-000053000000}"/>
    <hyperlink ref="E82" r:id="rId85" display="https://github.com/mabablue/I-ADOPT-examples-playground/issues/122" xr:uid="{00000000-0004-0000-0000-000054000000}"/>
    <hyperlink ref="E83" r:id="rId86" display="https://github.com/mabablue/I-ADOPT-examples-playground/issues/131" xr:uid="{00000000-0004-0000-0000-000055000000}"/>
    <hyperlink ref="E84" r:id="rId87" display="https://github.com/mabablue/I-ADOPT-examples-playground/issues/83" xr:uid="{00000000-0004-0000-0000-000056000000}"/>
    <hyperlink ref="E85" r:id="rId88" display="https://github.com/mabablue/I-ADOPT-examples-playground/issues/82" xr:uid="{00000000-0004-0000-0000-000057000000}"/>
    <hyperlink ref="E86" r:id="rId89" display="https://github.com/mabablue/I-ADOPT-examples-playground/issues/84" xr:uid="{00000000-0004-0000-0000-000058000000}"/>
    <hyperlink ref="E87" r:id="rId90" display="https://github.com/mabablue/I-ADOPT-examples-playground/issues/136" xr:uid="{00000000-0004-0000-0000-000059000000}"/>
    <hyperlink ref="E88" r:id="rId91" display="https://github.com/mabablue/I-ADOPT-examples-playground/issues/22" xr:uid="{00000000-0004-0000-0000-00005A000000}"/>
    <hyperlink ref="E89" r:id="rId92" display="https://github.com/mabablue/I-ADOPT-examples-playground/issues/1" xr:uid="{00000000-0004-0000-0000-00005B000000}"/>
    <hyperlink ref="E90" r:id="rId93" display="https://github.com/mabablue/I-ADOPT-examples-playground/issues/17" xr:uid="{00000000-0004-0000-0000-00005C000000}"/>
    <hyperlink ref="E91" r:id="rId94" display="https://github.com/mabablue/I-ADOPT-examples-playground/issues/101" xr:uid="{00000000-0004-0000-0000-00005D000000}"/>
    <hyperlink ref="E92" r:id="rId95" display="https://github.com/mabablue/I-ADOPT-examples-playground/issues/109" xr:uid="{00000000-0004-0000-0000-00005E000000}"/>
    <hyperlink ref="E93" r:id="rId96" display="https://github.com/mabablue/I-ADOPT-examples-playground/issues/123" xr:uid="{00000000-0004-0000-0000-00005F000000}"/>
    <hyperlink ref="E94" r:id="rId97" display="https://github.com/mabablue/I-ADOPT-examples-playground/issues/128" xr:uid="{00000000-0004-0000-0000-000060000000}"/>
    <hyperlink ref="E95" r:id="rId98" display="https://github.com/mabablue/I-ADOPT-examples-playground/issues/95" xr:uid="{00000000-0004-0000-0000-000061000000}"/>
    <hyperlink ref="E96" r:id="rId99" display="https://github.com/mabablue/I-ADOPT-examples-playground/issues/43" xr:uid="{00000000-0004-0000-0000-000062000000}"/>
    <hyperlink ref="E97" r:id="rId100" display="https://github.com/mabablue/I-ADOPT-examples-playground/issues/103" xr:uid="{00000000-0004-0000-0000-000063000000}"/>
    <hyperlink ref="E98" r:id="rId101" display="https://github.com/mabablue/I-ADOPT-examples-playground/issues/66" xr:uid="{00000000-0004-0000-0000-000064000000}"/>
    <hyperlink ref="E99" r:id="rId102" display="https://github.com/mabablue/I-ADOPT-examples-playground/issues/77" xr:uid="{00000000-0004-0000-0000-000065000000}"/>
    <hyperlink ref="E100" r:id="rId103" display="https://github.com/mabablue/I-ADOPT-examples-playground/issues/120" xr:uid="{00000000-0004-0000-0000-000066000000}"/>
    <hyperlink ref="E101" r:id="rId104" display="https://github.com/mabablue/I-ADOPT-examples-playground/issues/132" xr:uid="{00000000-0004-0000-0000-000067000000}"/>
    <hyperlink ref="E102" r:id="rId105" display="https://github.com/mabablue/I-ADOPT-examples-playground/issues/114" xr:uid="{00000000-0004-0000-0000-000068000000}"/>
    <hyperlink ref="E103" r:id="rId106" display="https://github.com/mabablue/I-ADOPT-examples-playground/issues/25" xr:uid="{00000000-0004-0000-0000-000069000000}"/>
  </hyperlinks>
  <pageMargins left="0.7" right="0.7" top="0.75" bottom="0.75" header="0.3" footer="0.3"/>
  <legacyDrawing r:id="rId10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02"/>
  <sheetViews>
    <sheetView workbookViewId="0">
      <selection activeCell="J15" sqref="J15"/>
    </sheetView>
  </sheetViews>
  <sheetFormatPr defaultColWidth="12.5703125" defaultRowHeight="15.75" customHeight="1" x14ac:dyDescent="0.2"/>
  <cols>
    <col min="2" max="2" width="15.5703125" customWidth="1"/>
    <col min="5" max="5" width="45.85546875" customWidth="1"/>
    <col min="6" max="6" width="12.5703125" customWidth="1"/>
  </cols>
  <sheetData>
    <row r="1" spans="1:6" ht="15.75" customHeight="1" x14ac:dyDescent="0.25">
      <c r="A1" s="1" t="s">
        <v>65</v>
      </c>
      <c r="B1" s="1" t="s">
        <v>66</v>
      </c>
    </row>
    <row r="2" spans="1:6" ht="15.75" customHeight="1" thickBot="1" x14ac:dyDescent="0.3">
      <c r="A2" s="1" t="s">
        <v>65</v>
      </c>
      <c r="B2" s="3" t="s">
        <v>71</v>
      </c>
    </row>
    <row r="3" spans="1:6" ht="15.75" customHeight="1" thickBot="1" x14ac:dyDescent="0.3">
      <c r="A3" s="1" t="s">
        <v>65</v>
      </c>
      <c r="B3" s="3" t="s">
        <v>71</v>
      </c>
      <c r="E3" s="27" t="s">
        <v>0</v>
      </c>
      <c r="F3" s="28" t="s">
        <v>704</v>
      </c>
    </row>
    <row r="4" spans="1:6" ht="15.75" customHeight="1" x14ac:dyDescent="0.25">
      <c r="A4" s="1" t="s">
        <v>65</v>
      </c>
      <c r="B4" s="3" t="s">
        <v>71</v>
      </c>
      <c r="E4" s="25" t="s">
        <v>65</v>
      </c>
      <c r="F4" s="29">
        <v>40</v>
      </c>
    </row>
    <row r="5" spans="1:6" ht="15.75" customHeight="1" x14ac:dyDescent="0.25">
      <c r="A5" s="1" t="s">
        <v>65</v>
      </c>
      <c r="B5" s="3" t="s">
        <v>71</v>
      </c>
      <c r="E5" s="25" t="s">
        <v>14</v>
      </c>
      <c r="F5" s="29">
        <v>25</v>
      </c>
    </row>
    <row r="6" spans="1:6" ht="15.75" customHeight="1" x14ac:dyDescent="0.25">
      <c r="A6" s="1" t="s">
        <v>65</v>
      </c>
      <c r="B6" s="3" t="s">
        <v>71</v>
      </c>
      <c r="E6" s="25" t="s">
        <v>43</v>
      </c>
      <c r="F6" s="29">
        <v>16</v>
      </c>
    </row>
    <row r="7" spans="1:6" ht="15.75" customHeight="1" x14ac:dyDescent="0.25">
      <c r="A7" s="1" t="s">
        <v>65</v>
      </c>
      <c r="B7" s="1" t="s">
        <v>98</v>
      </c>
      <c r="E7" s="25" t="s">
        <v>35</v>
      </c>
      <c r="F7" s="29">
        <v>15</v>
      </c>
    </row>
    <row r="8" spans="1:6" ht="15.75" customHeight="1" x14ac:dyDescent="0.25">
      <c r="A8" s="1" t="s">
        <v>65</v>
      </c>
      <c r="B8" s="1" t="s">
        <v>66</v>
      </c>
      <c r="E8" s="25" t="s">
        <v>24</v>
      </c>
      <c r="F8" s="29">
        <v>6</v>
      </c>
    </row>
    <row r="9" spans="1:6" ht="15.75" customHeight="1" thickBot="1" x14ac:dyDescent="0.3">
      <c r="A9" s="1" t="s">
        <v>65</v>
      </c>
      <c r="B9" s="1" t="s">
        <v>107</v>
      </c>
      <c r="E9" s="26" t="s">
        <v>706</v>
      </c>
      <c r="F9" s="30">
        <v>102</v>
      </c>
    </row>
    <row r="10" spans="1:6" ht="15.75" customHeight="1" x14ac:dyDescent="0.25">
      <c r="A10" s="1" t="s">
        <v>65</v>
      </c>
      <c r="B10" s="1" t="s">
        <v>98</v>
      </c>
      <c r="E10" s="22"/>
      <c r="F10" s="23"/>
    </row>
    <row r="11" spans="1:6" ht="15.75" customHeight="1" x14ac:dyDescent="0.25">
      <c r="A11" s="1" t="s">
        <v>65</v>
      </c>
      <c r="B11" s="1" t="s">
        <v>98</v>
      </c>
      <c r="E11" s="24"/>
      <c r="F11" s="23"/>
    </row>
    <row r="12" spans="1:6" ht="15.75" customHeight="1" x14ac:dyDescent="0.25">
      <c r="A12" s="1" t="s">
        <v>65</v>
      </c>
      <c r="B12" s="1" t="s">
        <v>107</v>
      </c>
    </row>
    <row r="13" spans="1:6" ht="15.75" customHeight="1" x14ac:dyDescent="0.25">
      <c r="A13" s="1" t="s">
        <v>65</v>
      </c>
      <c r="B13" s="1" t="s">
        <v>66</v>
      </c>
    </row>
    <row r="14" spans="1:6" ht="15.75" customHeight="1" x14ac:dyDescent="0.25">
      <c r="A14" s="1" t="s">
        <v>65</v>
      </c>
      <c r="B14" s="1" t="s">
        <v>107</v>
      </c>
    </row>
    <row r="15" spans="1:6" ht="15.75" customHeight="1" x14ac:dyDescent="0.25">
      <c r="A15" s="1" t="s">
        <v>65</v>
      </c>
      <c r="B15" s="1" t="s">
        <v>147</v>
      </c>
    </row>
    <row r="16" spans="1:6" ht="15.75" customHeight="1" x14ac:dyDescent="0.25">
      <c r="A16" s="1" t="s">
        <v>65</v>
      </c>
      <c r="B16" s="1" t="s">
        <v>147</v>
      </c>
    </row>
    <row r="17" spans="1:2" ht="15.75" customHeight="1" x14ac:dyDescent="0.25">
      <c r="A17" s="1" t="s">
        <v>65</v>
      </c>
      <c r="B17" s="1" t="s">
        <v>154</v>
      </c>
    </row>
    <row r="18" spans="1:2" ht="15.75" customHeight="1" x14ac:dyDescent="0.25">
      <c r="A18" s="1" t="s">
        <v>65</v>
      </c>
      <c r="B18" s="8" t="s">
        <v>154</v>
      </c>
    </row>
    <row r="19" spans="1:2" ht="15.75" customHeight="1" x14ac:dyDescent="0.25">
      <c r="A19" s="1" t="s">
        <v>65</v>
      </c>
      <c r="B19" s="1" t="s">
        <v>66</v>
      </c>
    </row>
    <row r="20" spans="1:2" ht="15.75" customHeight="1" x14ac:dyDescent="0.25">
      <c r="A20" s="1" t="s">
        <v>65</v>
      </c>
      <c r="B20" s="1" t="s">
        <v>66</v>
      </c>
    </row>
    <row r="21" spans="1:2" ht="15.75" customHeight="1" x14ac:dyDescent="0.25">
      <c r="A21" s="1" t="s">
        <v>65</v>
      </c>
      <c r="B21" s="3" t="s">
        <v>98</v>
      </c>
    </row>
    <row r="22" spans="1:2" ht="15.75" customHeight="1" x14ac:dyDescent="0.25">
      <c r="A22" s="1" t="s">
        <v>65</v>
      </c>
      <c r="B22" s="1" t="s">
        <v>209</v>
      </c>
    </row>
    <row r="23" spans="1:2" ht="15.75" customHeight="1" x14ac:dyDescent="0.25">
      <c r="A23" s="1" t="s">
        <v>65</v>
      </c>
      <c r="B23" s="8" t="s">
        <v>154</v>
      </c>
    </row>
    <row r="24" spans="1:2" ht="15.75" customHeight="1" x14ac:dyDescent="0.25">
      <c r="A24" s="1" t="s">
        <v>65</v>
      </c>
      <c r="B24" s="1" t="s">
        <v>66</v>
      </c>
    </row>
    <row r="25" spans="1:2" ht="15.75" customHeight="1" x14ac:dyDescent="0.25">
      <c r="A25" s="1" t="s">
        <v>65</v>
      </c>
      <c r="B25" s="1" t="s">
        <v>98</v>
      </c>
    </row>
    <row r="26" spans="1:2" ht="15.75" customHeight="1" x14ac:dyDescent="0.25">
      <c r="A26" s="1" t="s">
        <v>65</v>
      </c>
      <c r="B26" s="1" t="s">
        <v>98</v>
      </c>
    </row>
    <row r="27" spans="1:2" ht="15.75" customHeight="1" x14ac:dyDescent="0.25">
      <c r="A27" s="1" t="s">
        <v>65</v>
      </c>
      <c r="B27" s="1" t="s">
        <v>98</v>
      </c>
    </row>
    <row r="28" spans="1:2" ht="15.75" customHeight="1" x14ac:dyDescent="0.25">
      <c r="A28" s="1" t="s">
        <v>65</v>
      </c>
      <c r="B28" s="1" t="s">
        <v>98</v>
      </c>
    </row>
    <row r="29" spans="1:2" ht="15.75" customHeight="1" x14ac:dyDescent="0.25">
      <c r="A29" s="1" t="s">
        <v>65</v>
      </c>
      <c r="B29" s="8" t="s">
        <v>154</v>
      </c>
    </row>
    <row r="30" spans="1:2" ht="15.75" customHeight="1" x14ac:dyDescent="0.25">
      <c r="A30" s="1" t="s">
        <v>65</v>
      </c>
      <c r="B30" s="3" t="s">
        <v>247</v>
      </c>
    </row>
    <row r="31" spans="1:2" ht="15.75" customHeight="1" x14ac:dyDescent="0.25">
      <c r="A31" s="1" t="s">
        <v>65</v>
      </c>
      <c r="B31" s="1" t="s">
        <v>107</v>
      </c>
    </row>
    <row r="32" spans="1:2" ht="15.75" customHeight="1" x14ac:dyDescent="0.25">
      <c r="A32" s="1" t="s">
        <v>65</v>
      </c>
      <c r="B32" s="1" t="s">
        <v>209</v>
      </c>
    </row>
    <row r="33" spans="1:2" ht="15.75" customHeight="1" x14ac:dyDescent="0.25">
      <c r="A33" s="1" t="s">
        <v>65</v>
      </c>
      <c r="B33" s="3" t="s">
        <v>247</v>
      </c>
    </row>
    <row r="34" spans="1:2" ht="15.75" customHeight="1" x14ac:dyDescent="0.25">
      <c r="A34" s="1" t="s">
        <v>65</v>
      </c>
      <c r="B34" s="3" t="s">
        <v>247</v>
      </c>
    </row>
    <row r="35" spans="1:2" ht="15.75" customHeight="1" x14ac:dyDescent="0.25">
      <c r="A35" s="1" t="s">
        <v>65</v>
      </c>
      <c r="B35" s="1" t="s">
        <v>98</v>
      </c>
    </row>
    <row r="36" spans="1:2" ht="15.75" customHeight="1" x14ac:dyDescent="0.25">
      <c r="A36" s="1" t="s">
        <v>65</v>
      </c>
      <c r="B36" s="3" t="s">
        <v>98</v>
      </c>
    </row>
    <row r="37" spans="1:2" ht="15" x14ac:dyDescent="0.25">
      <c r="A37" s="1" t="s">
        <v>65</v>
      </c>
      <c r="B37" s="3" t="s">
        <v>98</v>
      </c>
    </row>
    <row r="38" spans="1:2" ht="15" x14ac:dyDescent="0.25">
      <c r="A38" s="1" t="s">
        <v>65</v>
      </c>
      <c r="B38" s="3" t="s">
        <v>247</v>
      </c>
    </row>
    <row r="39" spans="1:2" ht="15" x14ac:dyDescent="0.25">
      <c r="A39" s="1" t="s">
        <v>65</v>
      </c>
      <c r="B39" s="3" t="s">
        <v>247</v>
      </c>
    </row>
    <row r="40" spans="1:2" ht="15" x14ac:dyDescent="0.25">
      <c r="A40" s="1" t="s">
        <v>65</v>
      </c>
      <c r="B40" s="1" t="s">
        <v>107</v>
      </c>
    </row>
    <row r="41" spans="1:2" ht="15" x14ac:dyDescent="0.25">
      <c r="A41" s="1" t="s">
        <v>24</v>
      </c>
      <c r="B41" s="3" t="s">
        <v>25</v>
      </c>
    </row>
    <row r="42" spans="1:2" ht="15" x14ac:dyDescent="0.25">
      <c r="A42" s="1" t="s">
        <v>24</v>
      </c>
      <c r="B42" s="1" t="s">
        <v>117</v>
      </c>
    </row>
    <row r="43" spans="1:2" ht="15" x14ac:dyDescent="0.25">
      <c r="A43" s="1" t="s">
        <v>24</v>
      </c>
      <c r="B43" s="1" t="s">
        <v>117</v>
      </c>
    </row>
    <row r="44" spans="1:2" ht="15" x14ac:dyDescent="0.25">
      <c r="A44" s="1" t="s">
        <v>24</v>
      </c>
      <c r="B44" s="1" t="s">
        <v>117</v>
      </c>
    </row>
    <row r="45" spans="1:2" ht="15" x14ac:dyDescent="0.25">
      <c r="A45" s="1" t="s">
        <v>24</v>
      </c>
      <c r="B45" s="3" t="s">
        <v>25</v>
      </c>
    </row>
    <row r="46" spans="1:2" ht="15" x14ac:dyDescent="0.25">
      <c r="A46" s="1" t="s">
        <v>24</v>
      </c>
      <c r="B46" s="1" t="s">
        <v>117</v>
      </c>
    </row>
    <row r="47" spans="1:2" ht="15" x14ac:dyDescent="0.25">
      <c r="A47" s="1" t="s">
        <v>43</v>
      </c>
      <c r="B47" s="1" t="s">
        <v>44</v>
      </c>
    </row>
    <row r="48" spans="1:2" ht="15" x14ac:dyDescent="0.25">
      <c r="A48" s="1" t="s">
        <v>43</v>
      </c>
      <c r="B48" s="3" t="s">
        <v>44</v>
      </c>
    </row>
    <row r="49" spans="1:2" ht="15" x14ac:dyDescent="0.25">
      <c r="A49" s="1" t="s">
        <v>43</v>
      </c>
      <c r="B49" s="3" t="s">
        <v>44</v>
      </c>
    </row>
    <row r="50" spans="1:2" ht="15" x14ac:dyDescent="0.25">
      <c r="A50" s="1" t="s">
        <v>43</v>
      </c>
      <c r="B50" s="1" t="s">
        <v>44</v>
      </c>
    </row>
    <row r="51" spans="1:2" ht="15" x14ac:dyDescent="0.25">
      <c r="A51" s="1" t="s">
        <v>43</v>
      </c>
      <c r="B51" s="1" t="s">
        <v>44</v>
      </c>
    </row>
    <row r="52" spans="1:2" ht="15" x14ac:dyDescent="0.25">
      <c r="A52" s="1" t="s">
        <v>43</v>
      </c>
      <c r="B52" s="1" t="s">
        <v>110</v>
      </c>
    </row>
    <row r="53" spans="1:2" ht="15" x14ac:dyDescent="0.25">
      <c r="A53" s="1" t="s">
        <v>43</v>
      </c>
      <c r="B53" s="1" t="s">
        <v>110</v>
      </c>
    </row>
    <row r="54" spans="1:2" ht="15" x14ac:dyDescent="0.25">
      <c r="A54" s="1" t="s">
        <v>43</v>
      </c>
      <c r="B54" s="3" t="s">
        <v>44</v>
      </c>
    </row>
    <row r="55" spans="1:2" ht="15" x14ac:dyDescent="0.25">
      <c r="A55" s="1" t="s">
        <v>43</v>
      </c>
      <c r="B55" s="8" t="s">
        <v>110</v>
      </c>
    </row>
    <row r="56" spans="1:2" ht="15" x14ac:dyDescent="0.25">
      <c r="A56" s="1" t="s">
        <v>43</v>
      </c>
      <c r="B56" s="8" t="s">
        <v>110</v>
      </c>
    </row>
    <row r="57" spans="1:2" ht="15" x14ac:dyDescent="0.25">
      <c r="A57" s="1" t="s">
        <v>43</v>
      </c>
      <c r="B57" s="3" t="s">
        <v>44</v>
      </c>
    </row>
    <row r="58" spans="1:2" ht="15" x14ac:dyDescent="0.25">
      <c r="A58" s="1" t="s">
        <v>43</v>
      </c>
      <c r="B58" s="1" t="s">
        <v>44</v>
      </c>
    </row>
    <row r="59" spans="1:2" ht="15" x14ac:dyDescent="0.25">
      <c r="A59" s="1" t="s">
        <v>43</v>
      </c>
      <c r="B59" s="8" t="s">
        <v>44</v>
      </c>
    </row>
    <row r="60" spans="1:2" ht="15" x14ac:dyDescent="0.25">
      <c r="A60" s="1" t="s">
        <v>43</v>
      </c>
      <c r="B60" s="8" t="s">
        <v>44</v>
      </c>
    </row>
    <row r="61" spans="1:2" ht="15" x14ac:dyDescent="0.25">
      <c r="A61" s="1" t="s">
        <v>43</v>
      </c>
      <c r="B61" s="8" t="s">
        <v>110</v>
      </c>
    </row>
    <row r="62" spans="1:2" ht="15" x14ac:dyDescent="0.25">
      <c r="A62" s="1" t="s">
        <v>43</v>
      </c>
      <c r="B62" s="3" t="s">
        <v>44</v>
      </c>
    </row>
    <row r="63" spans="1:2" ht="15" x14ac:dyDescent="0.25">
      <c r="A63" s="1" t="s">
        <v>14</v>
      </c>
      <c r="B63" s="1" t="s">
        <v>15</v>
      </c>
    </row>
    <row r="64" spans="1:2" ht="15" x14ac:dyDescent="0.25">
      <c r="A64" s="1" t="s">
        <v>14</v>
      </c>
      <c r="B64" s="1" t="s">
        <v>15</v>
      </c>
    </row>
    <row r="65" spans="1:2" ht="15" x14ac:dyDescent="0.25">
      <c r="A65" s="1" t="s">
        <v>14</v>
      </c>
      <c r="B65" s="1" t="s">
        <v>15</v>
      </c>
    </row>
    <row r="66" spans="1:2" ht="15" x14ac:dyDescent="0.25">
      <c r="A66" s="1" t="s">
        <v>14</v>
      </c>
      <c r="B66" s="5" t="s">
        <v>51</v>
      </c>
    </row>
    <row r="67" spans="1:2" ht="15" x14ac:dyDescent="0.25">
      <c r="A67" s="1" t="s">
        <v>14</v>
      </c>
      <c r="B67" s="1" t="s">
        <v>15</v>
      </c>
    </row>
    <row r="68" spans="1:2" ht="15" x14ac:dyDescent="0.25">
      <c r="A68" s="1" t="s">
        <v>14</v>
      </c>
      <c r="B68" s="8" t="s">
        <v>15</v>
      </c>
    </row>
    <row r="69" spans="1:2" ht="15" x14ac:dyDescent="0.25">
      <c r="A69" s="1" t="s">
        <v>14</v>
      </c>
      <c r="B69" s="5" t="s">
        <v>51</v>
      </c>
    </row>
    <row r="70" spans="1:2" ht="15" x14ac:dyDescent="0.25">
      <c r="A70" s="1" t="s">
        <v>14</v>
      </c>
      <c r="B70" s="3" t="s">
        <v>15</v>
      </c>
    </row>
    <row r="71" spans="1:2" ht="15" x14ac:dyDescent="0.25">
      <c r="A71" s="1" t="s">
        <v>14</v>
      </c>
      <c r="B71" s="1" t="s">
        <v>127</v>
      </c>
    </row>
    <row r="72" spans="1:2" ht="15" x14ac:dyDescent="0.25">
      <c r="A72" s="1" t="s">
        <v>14</v>
      </c>
      <c r="B72" s="5" t="s">
        <v>51</v>
      </c>
    </row>
    <row r="73" spans="1:2" ht="15" x14ac:dyDescent="0.25">
      <c r="A73" s="1" t="s">
        <v>14</v>
      </c>
      <c r="B73" s="3" t="s">
        <v>15</v>
      </c>
    </row>
    <row r="74" spans="1:2" ht="15" x14ac:dyDescent="0.25">
      <c r="A74" s="1" t="s">
        <v>14</v>
      </c>
      <c r="B74" s="5" t="s">
        <v>170</v>
      </c>
    </row>
    <row r="75" spans="1:2" ht="15" x14ac:dyDescent="0.25">
      <c r="A75" s="1" t="s">
        <v>14</v>
      </c>
      <c r="B75" s="5" t="s">
        <v>170</v>
      </c>
    </row>
    <row r="76" spans="1:2" ht="15" x14ac:dyDescent="0.25">
      <c r="A76" s="1" t="s">
        <v>14</v>
      </c>
      <c r="B76" s="3" t="s">
        <v>15</v>
      </c>
    </row>
    <row r="77" spans="1:2" ht="15" x14ac:dyDescent="0.25">
      <c r="A77" s="1" t="s">
        <v>14</v>
      </c>
      <c r="B77" s="5" t="s">
        <v>51</v>
      </c>
    </row>
    <row r="78" spans="1:2" ht="15" x14ac:dyDescent="0.25">
      <c r="A78" s="1" t="s">
        <v>14</v>
      </c>
      <c r="B78" s="3" t="s">
        <v>15</v>
      </c>
    </row>
    <row r="79" spans="1:2" ht="15" x14ac:dyDescent="0.25">
      <c r="A79" s="1" t="s">
        <v>14</v>
      </c>
      <c r="B79" s="5" t="s">
        <v>51</v>
      </c>
    </row>
    <row r="80" spans="1:2" ht="15" x14ac:dyDescent="0.25">
      <c r="A80" s="1" t="s">
        <v>14</v>
      </c>
      <c r="B80" s="3" t="s">
        <v>15</v>
      </c>
    </row>
    <row r="81" spans="1:2" ht="15" x14ac:dyDescent="0.25">
      <c r="A81" s="1" t="s">
        <v>14</v>
      </c>
      <c r="B81" s="5" t="s">
        <v>51</v>
      </c>
    </row>
    <row r="82" spans="1:2" ht="15" x14ac:dyDescent="0.25">
      <c r="A82" s="1" t="s">
        <v>14</v>
      </c>
      <c r="B82" s="5" t="s">
        <v>51</v>
      </c>
    </row>
    <row r="83" spans="1:2" ht="15" x14ac:dyDescent="0.25">
      <c r="A83" s="1" t="s">
        <v>14</v>
      </c>
      <c r="B83" s="5" t="s">
        <v>51</v>
      </c>
    </row>
    <row r="84" spans="1:2" ht="15" x14ac:dyDescent="0.25">
      <c r="A84" s="1" t="s">
        <v>14</v>
      </c>
      <c r="B84" s="3" t="s">
        <v>15</v>
      </c>
    </row>
    <row r="85" spans="1:2" ht="15" x14ac:dyDescent="0.25">
      <c r="A85" s="1" t="s">
        <v>14</v>
      </c>
      <c r="B85" s="3" t="s">
        <v>15</v>
      </c>
    </row>
    <row r="86" spans="1:2" ht="15" x14ac:dyDescent="0.25">
      <c r="A86" s="1" t="s">
        <v>14</v>
      </c>
      <c r="B86" s="3" t="s">
        <v>15</v>
      </c>
    </row>
    <row r="87" spans="1:2" ht="15" x14ac:dyDescent="0.25">
      <c r="A87" s="1" t="s">
        <v>14</v>
      </c>
      <c r="B87" s="3" t="s">
        <v>15</v>
      </c>
    </row>
    <row r="88" spans="1:2" ht="15" x14ac:dyDescent="0.25">
      <c r="A88" s="1" t="s">
        <v>35</v>
      </c>
      <c r="B88" s="3" t="s">
        <v>36</v>
      </c>
    </row>
    <row r="89" spans="1:2" ht="15" x14ac:dyDescent="0.25">
      <c r="A89" s="1" t="s">
        <v>35</v>
      </c>
      <c r="B89" s="1" t="s">
        <v>36</v>
      </c>
    </row>
    <row r="90" spans="1:2" ht="15" x14ac:dyDescent="0.25">
      <c r="A90" s="1" t="s">
        <v>35</v>
      </c>
      <c r="B90" s="3" t="s">
        <v>36</v>
      </c>
    </row>
    <row r="91" spans="1:2" ht="15" x14ac:dyDescent="0.25">
      <c r="A91" s="1" t="s">
        <v>35</v>
      </c>
      <c r="B91" s="3" t="s">
        <v>36</v>
      </c>
    </row>
    <row r="92" spans="1:2" ht="15" x14ac:dyDescent="0.25">
      <c r="A92" s="1" t="s">
        <v>35</v>
      </c>
      <c r="B92" s="3" t="s">
        <v>136</v>
      </c>
    </row>
    <row r="93" spans="1:2" ht="15" x14ac:dyDescent="0.25">
      <c r="A93" s="1" t="s">
        <v>35</v>
      </c>
      <c r="B93" s="3" t="s">
        <v>136</v>
      </c>
    </row>
    <row r="94" spans="1:2" ht="15" x14ac:dyDescent="0.25">
      <c r="A94" s="1" t="s">
        <v>35</v>
      </c>
      <c r="B94" s="3" t="s">
        <v>36</v>
      </c>
    </row>
    <row r="95" spans="1:2" ht="15" x14ac:dyDescent="0.25">
      <c r="A95" s="1" t="s">
        <v>35</v>
      </c>
      <c r="B95" s="3" t="s">
        <v>36</v>
      </c>
    </row>
    <row r="96" spans="1:2" ht="15" x14ac:dyDescent="0.25">
      <c r="A96" s="1" t="s">
        <v>35</v>
      </c>
      <c r="B96" s="3" t="s">
        <v>36</v>
      </c>
    </row>
    <row r="97" spans="1:2" ht="15" x14ac:dyDescent="0.25">
      <c r="A97" s="1" t="s">
        <v>35</v>
      </c>
      <c r="B97" s="3" t="s">
        <v>36</v>
      </c>
    </row>
    <row r="98" spans="1:2" ht="15" x14ac:dyDescent="0.25">
      <c r="A98" s="1" t="s">
        <v>35</v>
      </c>
      <c r="B98" s="3" t="s">
        <v>36</v>
      </c>
    </row>
    <row r="99" spans="1:2" ht="15" x14ac:dyDescent="0.25">
      <c r="A99" s="1" t="s">
        <v>35</v>
      </c>
      <c r="B99" s="1" t="s">
        <v>36</v>
      </c>
    </row>
    <row r="100" spans="1:2" ht="15" x14ac:dyDescent="0.25">
      <c r="A100" s="1" t="s">
        <v>35</v>
      </c>
      <c r="B100" s="3" t="s">
        <v>36</v>
      </c>
    </row>
    <row r="101" spans="1:2" ht="15" x14ac:dyDescent="0.25">
      <c r="A101" s="1" t="s">
        <v>35</v>
      </c>
      <c r="B101" s="3" t="s">
        <v>136</v>
      </c>
    </row>
    <row r="102" spans="1:2" ht="15" x14ac:dyDescent="0.25">
      <c r="A102" s="1" t="s">
        <v>35</v>
      </c>
      <c r="B102" s="3" t="s">
        <v>36</v>
      </c>
    </row>
  </sheetData>
  <dataValidations count="1">
    <dataValidation type="list" allowBlank="1" showErrorMessage="1" sqref="A1:A102" xr:uid="{00000000-0002-0000-0100-000000000000}">
      <formula1>"Physical and Chemical Sciences,Earth and Environmental Sciences,Life and Health Sciences,Engineering and Technology,Social and Risk Sciences"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952"/>
  <sheetViews>
    <sheetView workbookViewId="0"/>
  </sheetViews>
  <sheetFormatPr defaultColWidth="12.5703125" defaultRowHeight="15.75" customHeight="1" x14ac:dyDescent="0.2"/>
  <cols>
    <col min="1" max="1" width="40.85546875" customWidth="1"/>
    <col min="2" max="2" width="22.140625" customWidth="1"/>
    <col min="3" max="5" width="22.5703125" customWidth="1"/>
    <col min="6" max="7" width="21.7109375" customWidth="1"/>
    <col min="8" max="9" width="24.85546875" customWidth="1"/>
    <col min="10" max="11" width="22.42578125" customWidth="1"/>
    <col min="12" max="12" width="24.42578125" customWidth="1"/>
  </cols>
  <sheetData>
    <row r="1" spans="1:12" ht="15.75" customHeight="1" x14ac:dyDescent="0.25">
      <c r="A1" s="1" t="s">
        <v>2</v>
      </c>
      <c r="B1" s="11" t="s">
        <v>295</v>
      </c>
      <c r="C1" s="2"/>
      <c r="D1" s="2"/>
      <c r="E1" s="11" t="s">
        <v>296</v>
      </c>
      <c r="F1" s="2"/>
      <c r="G1" s="11" t="s">
        <v>297</v>
      </c>
      <c r="H1" s="2"/>
      <c r="I1" s="11" t="s">
        <v>298</v>
      </c>
      <c r="J1" s="2"/>
      <c r="K1" s="11" t="s">
        <v>299</v>
      </c>
      <c r="L1" s="2"/>
    </row>
    <row r="2" spans="1:12" ht="15.75" customHeight="1" x14ac:dyDescent="0.25">
      <c r="A2" s="1" t="s">
        <v>246</v>
      </c>
      <c r="B2" s="5" t="s">
        <v>20</v>
      </c>
      <c r="C2" s="3" t="s">
        <v>20</v>
      </c>
      <c r="D2" s="3">
        <f t="shared" ref="D2:D6" si="0">COUNTIF($B$2:$B$103,C2)</f>
        <v>46</v>
      </c>
      <c r="E2" s="5" t="s">
        <v>20</v>
      </c>
      <c r="F2" s="3">
        <f t="shared" ref="F2:F6" si="1">COUNTIF($E$2:$E$103,$C2)</f>
        <v>76</v>
      </c>
      <c r="G2" s="5" t="s">
        <v>20</v>
      </c>
      <c r="H2" s="3">
        <f t="shared" ref="H2:H6" si="2">COUNTIF($G$2:$G$103,$C2)</f>
        <v>69</v>
      </c>
      <c r="I2" s="5" t="s">
        <v>20</v>
      </c>
      <c r="J2" s="3">
        <f t="shared" ref="J2:J6" si="3">COUNTIF($I$2:$I$103,$C2)</f>
        <v>78</v>
      </c>
      <c r="K2" s="5" t="s">
        <v>20</v>
      </c>
      <c r="L2" s="3">
        <f t="shared" ref="L2:L6" si="4">COUNTIF($K$2:$K$103,$C2)</f>
        <v>65</v>
      </c>
    </row>
    <row r="3" spans="1:12" ht="15.75" customHeight="1" x14ac:dyDescent="0.25">
      <c r="A3" s="1" t="s">
        <v>262</v>
      </c>
      <c r="B3" s="5" t="s">
        <v>46</v>
      </c>
      <c r="C3" s="3" t="s">
        <v>19</v>
      </c>
      <c r="D3" s="3">
        <f t="shared" si="0"/>
        <v>44</v>
      </c>
      <c r="E3" s="5" t="s">
        <v>20</v>
      </c>
      <c r="F3" s="3">
        <f t="shared" si="1"/>
        <v>25</v>
      </c>
      <c r="G3" s="5" t="s">
        <v>46</v>
      </c>
      <c r="H3" s="3">
        <f t="shared" si="2"/>
        <v>27</v>
      </c>
      <c r="I3" s="5" t="s">
        <v>20</v>
      </c>
      <c r="J3" s="3">
        <f t="shared" si="3"/>
        <v>14</v>
      </c>
      <c r="K3" s="5" t="s">
        <v>20</v>
      </c>
      <c r="L3" s="3">
        <f t="shared" si="4"/>
        <v>26</v>
      </c>
    </row>
    <row r="4" spans="1:12" ht="15.75" customHeight="1" x14ac:dyDescent="0.25">
      <c r="A4" s="1" t="s">
        <v>211</v>
      </c>
      <c r="B4" s="5" t="s">
        <v>20</v>
      </c>
      <c r="C4" s="3" t="s">
        <v>18</v>
      </c>
      <c r="D4" s="3">
        <f t="shared" si="0"/>
        <v>6</v>
      </c>
      <c r="E4" s="5" t="s">
        <v>20</v>
      </c>
      <c r="F4" s="3">
        <f t="shared" si="1"/>
        <v>0</v>
      </c>
      <c r="G4" s="5" t="s">
        <v>20</v>
      </c>
      <c r="H4" s="3">
        <f t="shared" si="2"/>
        <v>3</v>
      </c>
      <c r="I4" s="5" t="s">
        <v>20</v>
      </c>
      <c r="J4" s="3">
        <f t="shared" si="3"/>
        <v>2</v>
      </c>
      <c r="K4" s="5" t="s">
        <v>20</v>
      </c>
      <c r="L4" s="3">
        <f t="shared" si="4"/>
        <v>0</v>
      </c>
    </row>
    <row r="5" spans="1:12" ht="15.75" customHeight="1" x14ac:dyDescent="0.25">
      <c r="A5" s="1" t="s">
        <v>118</v>
      </c>
      <c r="B5" s="5" t="s">
        <v>19</v>
      </c>
      <c r="C5" s="3" t="s">
        <v>95</v>
      </c>
      <c r="D5" s="3">
        <f t="shared" si="0"/>
        <v>1</v>
      </c>
      <c r="E5" s="5" t="s">
        <v>19</v>
      </c>
      <c r="F5" s="3">
        <f t="shared" si="1"/>
        <v>0</v>
      </c>
      <c r="G5" s="5" t="s">
        <v>20</v>
      </c>
      <c r="H5" s="3">
        <f t="shared" si="2"/>
        <v>0</v>
      </c>
      <c r="I5" s="5" t="s">
        <v>20</v>
      </c>
      <c r="J5" s="3">
        <f t="shared" si="3"/>
        <v>0</v>
      </c>
      <c r="K5" s="5" t="s">
        <v>20</v>
      </c>
      <c r="L5" s="3">
        <f t="shared" si="4"/>
        <v>0</v>
      </c>
    </row>
    <row r="6" spans="1:12" ht="15.75" customHeight="1" x14ac:dyDescent="0.25">
      <c r="A6" s="1" t="s">
        <v>257</v>
      </c>
      <c r="B6" s="5" t="s">
        <v>20</v>
      </c>
      <c r="C6" s="3" t="s">
        <v>46</v>
      </c>
      <c r="D6" s="3">
        <f t="shared" si="0"/>
        <v>5</v>
      </c>
      <c r="E6" s="5" t="s">
        <v>20</v>
      </c>
      <c r="F6" s="3">
        <f t="shared" si="1"/>
        <v>1</v>
      </c>
      <c r="G6" s="5" t="s">
        <v>20</v>
      </c>
      <c r="H6" s="3">
        <f t="shared" si="2"/>
        <v>3</v>
      </c>
      <c r="I6" s="5" t="s">
        <v>19</v>
      </c>
      <c r="J6" s="3">
        <f t="shared" si="3"/>
        <v>8</v>
      </c>
      <c r="K6" s="5" t="s">
        <v>20</v>
      </c>
      <c r="L6" s="3">
        <f t="shared" si="4"/>
        <v>11</v>
      </c>
    </row>
    <row r="7" spans="1:12" ht="15.75" customHeight="1" x14ac:dyDescent="0.25">
      <c r="A7" s="1" t="s">
        <v>293</v>
      </c>
      <c r="B7" s="5" t="s">
        <v>19</v>
      </c>
      <c r="E7" s="5" t="s">
        <v>19</v>
      </c>
      <c r="G7" s="5" t="s">
        <v>20</v>
      </c>
      <c r="I7" s="5" t="s">
        <v>19</v>
      </c>
      <c r="K7" s="5" t="s">
        <v>19</v>
      </c>
    </row>
    <row r="8" spans="1:12" x14ac:dyDescent="0.2">
      <c r="A8" s="3" t="s">
        <v>266</v>
      </c>
      <c r="B8" s="5" t="s">
        <v>19</v>
      </c>
      <c r="E8" s="5" t="s">
        <v>20</v>
      </c>
      <c r="G8" s="5" t="s">
        <v>19</v>
      </c>
      <c r="I8" s="5" t="s">
        <v>20</v>
      </c>
      <c r="K8" s="5" t="s">
        <v>19</v>
      </c>
    </row>
    <row r="9" spans="1:12" ht="15.75" customHeight="1" x14ac:dyDescent="0.25">
      <c r="A9" s="1" t="s">
        <v>16</v>
      </c>
      <c r="B9" s="5" t="s">
        <v>18</v>
      </c>
      <c r="E9" s="5" t="s">
        <v>19</v>
      </c>
      <c r="G9" s="5" t="s">
        <v>20</v>
      </c>
      <c r="I9" s="5" t="s">
        <v>20</v>
      </c>
      <c r="K9" s="5" t="s">
        <v>19</v>
      </c>
    </row>
    <row r="10" spans="1:12" ht="15.75" customHeight="1" x14ac:dyDescent="0.25">
      <c r="A10" s="1" t="s">
        <v>61</v>
      </c>
      <c r="B10" s="5" t="s">
        <v>18</v>
      </c>
      <c r="E10" s="5" t="s">
        <v>19</v>
      </c>
      <c r="G10" s="5" t="s">
        <v>19</v>
      </c>
      <c r="I10" s="5" t="s">
        <v>20</v>
      </c>
      <c r="K10" s="5" t="s">
        <v>19</v>
      </c>
    </row>
    <row r="11" spans="1:12" ht="15.75" customHeight="1" x14ac:dyDescent="0.25">
      <c r="A11" s="1" t="s">
        <v>32</v>
      </c>
      <c r="B11" s="5" t="s">
        <v>19</v>
      </c>
      <c r="E11" s="5" t="s">
        <v>20</v>
      </c>
      <c r="G11" s="5" t="s">
        <v>19</v>
      </c>
      <c r="I11" s="5" t="s">
        <v>20</v>
      </c>
      <c r="K11" s="5" t="s">
        <v>19</v>
      </c>
    </row>
    <row r="12" spans="1:12" ht="15.75" customHeight="1" x14ac:dyDescent="0.25">
      <c r="A12" s="1" t="s">
        <v>29</v>
      </c>
      <c r="B12" s="5" t="s">
        <v>19</v>
      </c>
      <c r="E12" s="5" t="s">
        <v>19</v>
      </c>
      <c r="G12" s="5" t="s">
        <v>19</v>
      </c>
      <c r="I12" s="5" t="s">
        <v>18</v>
      </c>
      <c r="K12" s="5" t="s">
        <v>19</v>
      </c>
    </row>
    <row r="13" spans="1:12" ht="15.75" customHeight="1" x14ac:dyDescent="0.25">
      <c r="A13" s="1" t="s">
        <v>128</v>
      </c>
      <c r="B13" s="5" t="s">
        <v>46</v>
      </c>
      <c r="E13" s="5" t="s">
        <v>46</v>
      </c>
      <c r="G13" s="5" t="s">
        <v>46</v>
      </c>
      <c r="I13" s="5" t="s">
        <v>46</v>
      </c>
      <c r="K13" s="5" t="s">
        <v>46</v>
      </c>
    </row>
    <row r="14" spans="1:12" x14ac:dyDescent="0.2">
      <c r="A14" s="3" t="s">
        <v>166</v>
      </c>
      <c r="B14" s="5" t="s">
        <v>19</v>
      </c>
      <c r="E14" s="5" t="s">
        <v>19</v>
      </c>
      <c r="G14" s="5" t="s">
        <v>20</v>
      </c>
      <c r="I14" s="5" t="s">
        <v>20</v>
      </c>
      <c r="K14" s="5" t="s">
        <v>20</v>
      </c>
    </row>
    <row r="15" spans="1:12" x14ac:dyDescent="0.2">
      <c r="A15" s="3" t="s">
        <v>264</v>
      </c>
      <c r="B15" s="5" t="s">
        <v>19</v>
      </c>
      <c r="E15" s="5" t="s">
        <v>19</v>
      </c>
      <c r="G15" s="5" t="s">
        <v>19</v>
      </c>
      <c r="I15" s="5" t="s">
        <v>20</v>
      </c>
      <c r="K15" s="5" t="s">
        <v>20</v>
      </c>
    </row>
    <row r="16" spans="1:12" x14ac:dyDescent="0.2">
      <c r="A16" s="3" t="s">
        <v>94</v>
      </c>
      <c r="B16" s="5" t="s">
        <v>95</v>
      </c>
      <c r="E16" s="5" t="s">
        <v>19</v>
      </c>
      <c r="G16" s="5" t="s">
        <v>18</v>
      </c>
      <c r="I16" s="5" t="s">
        <v>18</v>
      </c>
      <c r="K16" s="5" t="s">
        <v>19</v>
      </c>
    </row>
    <row r="17" spans="1:11" x14ac:dyDescent="0.2">
      <c r="A17" s="3" t="s">
        <v>283</v>
      </c>
      <c r="B17" s="5" t="s">
        <v>19</v>
      </c>
      <c r="E17" s="5" t="s">
        <v>20</v>
      </c>
      <c r="G17" s="5" t="s">
        <v>19</v>
      </c>
      <c r="I17" s="5" t="s">
        <v>20</v>
      </c>
      <c r="K17" s="5" t="s">
        <v>20</v>
      </c>
    </row>
    <row r="18" spans="1:11" x14ac:dyDescent="0.2">
      <c r="A18" s="3" t="s">
        <v>26</v>
      </c>
      <c r="B18" s="5" t="s">
        <v>19</v>
      </c>
      <c r="E18" s="5" t="s">
        <v>20</v>
      </c>
      <c r="G18" s="5" t="s">
        <v>20</v>
      </c>
      <c r="I18" s="5" t="s">
        <v>20</v>
      </c>
      <c r="K18" s="5" t="s">
        <v>20</v>
      </c>
    </row>
    <row r="19" spans="1:11" ht="15.75" customHeight="1" x14ac:dyDescent="0.25">
      <c r="A19" s="1" t="s">
        <v>45</v>
      </c>
      <c r="B19" s="5" t="s">
        <v>19</v>
      </c>
      <c r="E19" s="5" t="s">
        <v>19</v>
      </c>
      <c r="G19" s="5" t="s">
        <v>19</v>
      </c>
      <c r="I19" s="5" t="s">
        <v>46</v>
      </c>
      <c r="K19" s="5" t="s">
        <v>20</v>
      </c>
    </row>
    <row r="20" spans="1:11" ht="15.75" customHeight="1" x14ac:dyDescent="0.25">
      <c r="A20" s="1" t="s">
        <v>41</v>
      </c>
      <c r="B20" s="5" t="s">
        <v>20</v>
      </c>
      <c r="E20" s="5" t="s">
        <v>20</v>
      </c>
      <c r="G20" s="5" t="s">
        <v>20</v>
      </c>
      <c r="I20" s="5" t="s">
        <v>20</v>
      </c>
      <c r="K20" s="5" t="s">
        <v>20</v>
      </c>
    </row>
    <row r="21" spans="1:11" ht="15.75" customHeight="1" x14ac:dyDescent="0.25">
      <c r="A21" s="1" t="s">
        <v>193</v>
      </c>
      <c r="B21" s="5" t="s">
        <v>19</v>
      </c>
      <c r="E21" s="5" t="s">
        <v>19</v>
      </c>
      <c r="G21" s="5" t="s">
        <v>19</v>
      </c>
      <c r="I21" s="5" t="s">
        <v>46</v>
      </c>
      <c r="K21" s="5" t="s">
        <v>19</v>
      </c>
    </row>
    <row r="22" spans="1:11" ht="15.75" customHeight="1" x14ac:dyDescent="0.25">
      <c r="A22" s="1" t="s">
        <v>82</v>
      </c>
      <c r="B22" s="5" t="s">
        <v>19</v>
      </c>
      <c r="E22" s="5" t="s">
        <v>19</v>
      </c>
      <c r="G22" s="5" t="s">
        <v>19</v>
      </c>
      <c r="I22" s="5" t="s">
        <v>46</v>
      </c>
      <c r="K22" s="5" t="s">
        <v>19</v>
      </c>
    </row>
    <row r="23" spans="1:11" x14ac:dyDescent="0.2">
      <c r="A23" s="3" t="s">
        <v>49</v>
      </c>
      <c r="B23" s="5" t="s">
        <v>20</v>
      </c>
      <c r="E23" s="5" t="s">
        <v>20</v>
      </c>
      <c r="G23" s="5" t="s">
        <v>20</v>
      </c>
      <c r="I23" s="5" t="s">
        <v>46</v>
      </c>
      <c r="K23" s="5" t="s">
        <v>46</v>
      </c>
    </row>
    <row r="24" spans="1:11" x14ac:dyDescent="0.2">
      <c r="A24" s="3" t="s">
        <v>188</v>
      </c>
      <c r="B24" s="5" t="s">
        <v>20</v>
      </c>
      <c r="E24" s="5" t="s">
        <v>20</v>
      </c>
      <c r="G24" s="5" t="s">
        <v>20</v>
      </c>
      <c r="I24" s="5" t="s">
        <v>46</v>
      </c>
      <c r="K24" s="5" t="s">
        <v>20</v>
      </c>
    </row>
    <row r="25" spans="1:11" x14ac:dyDescent="0.2">
      <c r="A25" s="3" t="s">
        <v>54</v>
      </c>
      <c r="B25" s="5" t="s">
        <v>19</v>
      </c>
      <c r="E25" s="5" t="s">
        <v>19</v>
      </c>
      <c r="G25" s="5" t="s">
        <v>20</v>
      </c>
      <c r="I25" s="5" t="s">
        <v>46</v>
      </c>
      <c r="K25" s="5" t="s">
        <v>46</v>
      </c>
    </row>
    <row r="26" spans="1:11" x14ac:dyDescent="0.2">
      <c r="A26" s="3" t="s">
        <v>159</v>
      </c>
      <c r="B26" s="5" t="s">
        <v>19</v>
      </c>
      <c r="E26" s="5" t="s">
        <v>19</v>
      </c>
      <c r="G26" s="5" t="s">
        <v>19</v>
      </c>
      <c r="I26" s="5" t="s">
        <v>46</v>
      </c>
      <c r="K26" s="5" t="s">
        <v>46</v>
      </c>
    </row>
    <row r="27" spans="1:11" x14ac:dyDescent="0.2">
      <c r="A27" s="3" t="s">
        <v>163</v>
      </c>
      <c r="B27" s="5" t="s">
        <v>20</v>
      </c>
      <c r="E27" s="5" t="s">
        <v>20</v>
      </c>
      <c r="G27" s="5" t="s">
        <v>20</v>
      </c>
      <c r="I27" s="5" t="s">
        <v>20</v>
      </c>
      <c r="K27" s="5" t="s">
        <v>20</v>
      </c>
    </row>
    <row r="28" spans="1:11" x14ac:dyDescent="0.2">
      <c r="A28" s="3" t="s">
        <v>81</v>
      </c>
      <c r="B28" s="5" t="s">
        <v>20</v>
      </c>
      <c r="E28" s="5" t="s">
        <v>20</v>
      </c>
      <c r="G28" s="5" t="s">
        <v>20</v>
      </c>
      <c r="I28" s="5" t="s">
        <v>20</v>
      </c>
      <c r="K28" s="5" t="s">
        <v>20</v>
      </c>
    </row>
    <row r="29" spans="1:11" x14ac:dyDescent="0.2">
      <c r="A29" s="3" t="s">
        <v>144</v>
      </c>
      <c r="B29" s="5" t="s">
        <v>19</v>
      </c>
      <c r="E29" s="5" t="s">
        <v>20</v>
      </c>
      <c r="G29" s="5" t="s">
        <v>20</v>
      </c>
      <c r="I29" s="5" t="s">
        <v>20</v>
      </c>
      <c r="K29" s="5" t="s">
        <v>19</v>
      </c>
    </row>
    <row r="30" spans="1:11" x14ac:dyDescent="0.2">
      <c r="A30" s="3" t="s">
        <v>198</v>
      </c>
      <c r="B30" s="5" t="s">
        <v>20</v>
      </c>
      <c r="E30" s="5" t="s">
        <v>20</v>
      </c>
      <c r="G30" s="5" t="s">
        <v>20</v>
      </c>
      <c r="I30" s="5" t="s">
        <v>20</v>
      </c>
      <c r="K30" s="5" t="s">
        <v>20</v>
      </c>
    </row>
    <row r="31" spans="1:11" x14ac:dyDescent="0.2">
      <c r="A31" s="3" t="s">
        <v>199</v>
      </c>
      <c r="B31" s="5" t="s">
        <v>20</v>
      </c>
      <c r="E31" s="5" t="s">
        <v>20</v>
      </c>
      <c r="G31" s="5" t="s">
        <v>20</v>
      </c>
      <c r="I31" s="5" t="s">
        <v>20</v>
      </c>
      <c r="K31" s="5" t="s">
        <v>20</v>
      </c>
    </row>
    <row r="32" spans="1:11" x14ac:dyDescent="0.2">
      <c r="A32" s="3" t="s">
        <v>200</v>
      </c>
      <c r="B32" s="5" t="s">
        <v>20</v>
      </c>
      <c r="E32" s="5" t="s">
        <v>20</v>
      </c>
      <c r="G32" s="5" t="s">
        <v>20</v>
      </c>
      <c r="I32" s="5" t="s">
        <v>20</v>
      </c>
      <c r="K32" s="5" t="s">
        <v>20</v>
      </c>
    </row>
    <row r="33" spans="1:11" x14ac:dyDescent="0.2">
      <c r="A33" s="3" t="s">
        <v>37</v>
      </c>
      <c r="B33" s="5" t="s">
        <v>19</v>
      </c>
      <c r="E33" s="5" t="s">
        <v>20</v>
      </c>
      <c r="G33" s="5" t="s">
        <v>20</v>
      </c>
      <c r="I33" s="5" t="s">
        <v>19</v>
      </c>
      <c r="K33" s="5" t="s">
        <v>19</v>
      </c>
    </row>
    <row r="34" spans="1:11" x14ac:dyDescent="0.2">
      <c r="A34" s="3" t="s">
        <v>276</v>
      </c>
      <c r="B34" s="5" t="s">
        <v>19</v>
      </c>
      <c r="E34" s="5" t="s">
        <v>20</v>
      </c>
      <c r="G34" s="5" t="s">
        <v>19</v>
      </c>
      <c r="I34" s="5" t="s">
        <v>20</v>
      </c>
      <c r="K34" s="5" t="s">
        <v>20</v>
      </c>
    </row>
    <row r="35" spans="1:11" x14ac:dyDescent="0.2">
      <c r="A35" s="3" t="s">
        <v>216</v>
      </c>
      <c r="B35" s="5" t="s">
        <v>19</v>
      </c>
      <c r="E35" s="5" t="s">
        <v>20</v>
      </c>
      <c r="G35" s="5" t="s">
        <v>20</v>
      </c>
      <c r="I35" s="5" t="s">
        <v>20</v>
      </c>
      <c r="K35" s="5" t="s">
        <v>19</v>
      </c>
    </row>
    <row r="36" spans="1:11" x14ac:dyDescent="0.2">
      <c r="A36" s="3" t="s">
        <v>220</v>
      </c>
      <c r="B36" s="5" t="s">
        <v>19</v>
      </c>
      <c r="E36" s="5" t="s">
        <v>20</v>
      </c>
      <c r="G36" s="5" t="s">
        <v>19</v>
      </c>
      <c r="I36" s="5" t="s">
        <v>20</v>
      </c>
      <c r="K36" s="5" t="s">
        <v>19</v>
      </c>
    </row>
    <row r="37" spans="1:11" ht="12.75" x14ac:dyDescent="0.2">
      <c r="A37" s="3" t="s">
        <v>137</v>
      </c>
      <c r="B37" s="5" t="s">
        <v>46</v>
      </c>
      <c r="E37" s="5" t="s">
        <v>20</v>
      </c>
      <c r="G37" s="5" t="s">
        <v>46</v>
      </c>
      <c r="I37" s="5" t="s">
        <v>20</v>
      </c>
      <c r="K37" s="5" t="s">
        <v>19</v>
      </c>
    </row>
    <row r="38" spans="1:11" ht="15" x14ac:dyDescent="0.25">
      <c r="A38" s="1" t="s">
        <v>232</v>
      </c>
      <c r="B38" s="5" t="s">
        <v>20</v>
      </c>
      <c r="E38" s="5" t="s">
        <v>20</v>
      </c>
      <c r="G38" s="5" t="s">
        <v>20</v>
      </c>
      <c r="I38" s="5" t="s">
        <v>20</v>
      </c>
      <c r="K38" s="5" t="s">
        <v>20</v>
      </c>
    </row>
    <row r="39" spans="1:11" ht="15" x14ac:dyDescent="0.25">
      <c r="A39" s="1" t="s">
        <v>99</v>
      </c>
      <c r="B39" s="5" t="s">
        <v>20</v>
      </c>
      <c r="E39" s="5" t="s">
        <v>20</v>
      </c>
      <c r="G39" s="5" t="s">
        <v>20</v>
      </c>
      <c r="I39" s="5" t="s">
        <v>20</v>
      </c>
      <c r="K39" s="5" t="s">
        <v>20</v>
      </c>
    </row>
    <row r="40" spans="1:11" ht="15" x14ac:dyDescent="0.25">
      <c r="A40" s="1" t="s">
        <v>122</v>
      </c>
      <c r="B40" s="5" t="s">
        <v>20</v>
      </c>
      <c r="E40" s="5" t="s">
        <v>20</v>
      </c>
      <c r="G40" s="5" t="s">
        <v>20</v>
      </c>
      <c r="I40" s="5" t="s">
        <v>20</v>
      </c>
      <c r="K40" s="5" t="s">
        <v>20</v>
      </c>
    </row>
    <row r="41" spans="1:11" ht="15" x14ac:dyDescent="0.25">
      <c r="A41" s="1" t="s">
        <v>279</v>
      </c>
      <c r="B41" s="5" t="s">
        <v>20</v>
      </c>
      <c r="E41" s="5" t="s">
        <v>20</v>
      </c>
      <c r="G41" s="5" t="s">
        <v>20</v>
      </c>
      <c r="I41" s="5" t="s">
        <v>20</v>
      </c>
      <c r="K41" s="5" t="s">
        <v>20</v>
      </c>
    </row>
    <row r="42" spans="1:11" ht="15" x14ac:dyDescent="0.25">
      <c r="A42" s="1" t="s">
        <v>237</v>
      </c>
      <c r="B42" s="5" t="s">
        <v>20</v>
      </c>
      <c r="E42" s="5" t="s">
        <v>20</v>
      </c>
      <c r="G42" s="5" t="s">
        <v>20</v>
      </c>
      <c r="I42" s="5" t="s">
        <v>20</v>
      </c>
      <c r="K42" s="5" t="s">
        <v>20</v>
      </c>
    </row>
    <row r="43" spans="1:11" ht="15" x14ac:dyDescent="0.25">
      <c r="A43" s="1" t="s">
        <v>233</v>
      </c>
      <c r="B43" s="5" t="s">
        <v>20</v>
      </c>
      <c r="E43" s="5" t="s">
        <v>20</v>
      </c>
      <c r="G43" s="5" t="s">
        <v>20</v>
      </c>
      <c r="I43" s="5" t="s">
        <v>20</v>
      </c>
      <c r="K43" s="5" t="s">
        <v>20</v>
      </c>
    </row>
    <row r="44" spans="1:11" ht="15" x14ac:dyDescent="0.25">
      <c r="A44" s="1" t="s">
        <v>239</v>
      </c>
      <c r="B44" s="5" t="s">
        <v>20</v>
      </c>
      <c r="E44" s="5" t="s">
        <v>20</v>
      </c>
      <c r="G44" s="5" t="s">
        <v>20</v>
      </c>
      <c r="I44" s="5" t="s">
        <v>20</v>
      </c>
      <c r="K44" s="5" t="s">
        <v>20</v>
      </c>
    </row>
    <row r="45" spans="1:11" ht="15" x14ac:dyDescent="0.25">
      <c r="A45" s="1" t="s">
        <v>152</v>
      </c>
      <c r="B45" s="5" t="s">
        <v>20</v>
      </c>
      <c r="E45" s="5" t="s">
        <v>20</v>
      </c>
      <c r="G45" s="5" t="s">
        <v>20</v>
      </c>
      <c r="I45" s="5" t="s">
        <v>20</v>
      </c>
      <c r="K45" s="5" t="s">
        <v>20</v>
      </c>
    </row>
    <row r="46" spans="1:11" ht="15" x14ac:dyDescent="0.25">
      <c r="A46" s="1" t="s">
        <v>148</v>
      </c>
      <c r="B46" s="5" t="s">
        <v>19</v>
      </c>
      <c r="E46" s="5" t="s">
        <v>19</v>
      </c>
      <c r="G46" s="5" t="s">
        <v>19</v>
      </c>
      <c r="I46" s="5" t="s">
        <v>20</v>
      </c>
      <c r="K46" s="5" t="s">
        <v>20</v>
      </c>
    </row>
    <row r="47" spans="1:11" ht="12.75" x14ac:dyDescent="0.2">
      <c r="A47" s="3" t="s">
        <v>190</v>
      </c>
      <c r="B47" s="5" t="s">
        <v>20</v>
      </c>
      <c r="E47" s="5" t="s">
        <v>20</v>
      </c>
      <c r="G47" s="5" t="s">
        <v>20</v>
      </c>
      <c r="I47" s="5" t="s">
        <v>20</v>
      </c>
      <c r="K47" s="5" t="s">
        <v>20</v>
      </c>
    </row>
    <row r="48" spans="1:11" ht="12.75" x14ac:dyDescent="0.2">
      <c r="A48" s="3" t="s">
        <v>196</v>
      </c>
      <c r="B48" s="5" t="s">
        <v>20</v>
      </c>
      <c r="E48" s="5" t="s">
        <v>20</v>
      </c>
      <c r="G48" s="5" t="s">
        <v>20</v>
      </c>
      <c r="I48" s="5" t="s">
        <v>20</v>
      </c>
      <c r="K48" s="5" t="s">
        <v>20</v>
      </c>
    </row>
    <row r="49" spans="1:11" ht="12.75" x14ac:dyDescent="0.2">
      <c r="A49" s="3" t="s">
        <v>248</v>
      </c>
      <c r="B49" s="5" t="s">
        <v>20</v>
      </c>
      <c r="E49" s="5" t="s">
        <v>20</v>
      </c>
      <c r="G49" s="5" t="s">
        <v>20</v>
      </c>
      <c r="I49" s="5" t="s">
        <v>20</v>
      </c>
      <c r="K49" s="5" t="s">
        <v>20</v>
      </c>
    </row>
    <row r="50" spans="1:11" ht="12.75" x14ac:dyDescent="0.2">
      <c r="A50" s="3" t="s">
        <v>84</v>
      </c>
      <c r="B50" s="5" t="s">
        <v>19</v>
      </c>
      <c r="E50" s="5" t="s">
        <v>20</v>
      </c>
      <c r="G50" s="5" t="s">
        <v>20</v>
      </c>
      <c r="I50" s="5" t="s">
        <v>20</v>
      </c>
      <c r="K50" s="5" t="s">
        <v>20</v>
      </c>
    </row>
    <row r="51" spans="1:11" ht="12.75" x14ac:dyDescent="0.2">
      <c r="A51" s="3" t="s">
        <v>75</v>
      </c>
      <c r="B51" s="5" t="s">
        <v>20</v>
      </c>
      <c r="E51" s="5" t="s">
        <v>20</v>
      </c>
      <c r="G51" s="5" t="s">
        <v>20</v>
      </c>
      <c r="I51" s="5" t="s">
        <v>20</v>
      </c>
      <c r="K51" s="5" t="s">
        <v>20</v>
      </c>
    </row>
    <row r="52" spans="1:11" ht="12.75" x14ac:dyDescent="0.2">
      <c r="A52" s="3" t="s">
        <v>289</v>
      </c>
      <c r="B52" s="5" t="s">
        <v>19</v>
      </c>
      <c r="E52" s="5" t="s">
        <v>20</v>
      </c>
      <c r="G52" s="5" t="s">
        <v>19</v>
      </c>
      <c r="I52" s="5" t="s">
        <v>20</v>
      </c>
      <c r="K52" s="5" t="s">
        <v>19</v>
      </c>
    </row>
    <row r="53" spans="1:11" ht="12.75" x14ac:dyDescent="0.2">
      <c r="A53" s="3" t="s">
        <v>72</v>
      </c>
      <c r="B53" s="5" t="s">
        <v>20</v>
      </c>
      <c r="E53" s="5" t="s">
        <v>20</v>
      </c>
      <c r="G53" s="5" t="s">
        <v>20</v>
      </c>
      <c r="I53" s="5" t="s">
        <v>20</v>
      </c>
      <c r="K53" s="5" t="s">
        <v>20</v>
      </c>
    </row>
    <row r="54" spans="1:11" ht="12.75" x14ac:dyDescent="0.2">
      <c r="A54" s="3" t="s">
        <v>271</v>
      </c>
      <c r="B54" s="5" t="s">
        <v>46</v>
      </c>
      <c r="E54" s="5" t="s">
        <v>19</v>
      </c>
      <c r="G54" s="5" t="s">
        <v>18</v>
      </c>
      <c r="I54" s="5" t="s">
        <v>19</v>
      </c>
      <c r="K54" s="5" t="s">
        <v>19</v>
      </c>
    </row>
    <row r="55" spans="1:11" ht="12.75" x14ac:dyDescent="0.2">
      <c r="A55" s="3" t="s">
        <v>226</v>
      </c>
      <c r="B55" s="5" t="s">
        <v>19</v>
      </c>
      <c r="E55" s="5" t="s">
        <v>20</v>
      </c>
      <c r="G55" s="5" t="s">
        <v>20</v>
      </c>
      <c r="I55" s="5" t="s">
        <v>20</v>
      </c>
      <c r="K55" s="5" t="s">
        <v>19</v>
      </c>
    </row>
    <row r="56" spans="1:11" ht="15" x14ac:dyDescent="0.25">
      <c r="A56" s="1" t="s">
        <v>260</v>
      </c>
      <c r="B56" s="5" t="s">
        <v>20</v>
      </c>
      <c r="E56" s="5" t="s">
        <v>20</v>
      </c>
      <c r="G56" s="5" t="s">
        <v>20</v>
      </c>
      <c r="I56" s="5" t="s">
        <v>20</v>
      </c>
      <c r="K56" s="5" t="s">
        <v>20</v>
      </c>
    </row>
    <row r="57" spans="1:11" ht="15" x14ac:dyDescent="0.25">
      <c r="A57" s="1" t="s">
        <v>58</v>
      </c>
      <c r="B57" s="5" t="s">
        <v>19</v>
      </c>
      <c r="E57" s="5" t="s">
        <v>20</v>
      </c>
      <c r="G57" s="5" t="s">
        <v>20</v>
      </c>
      <c r="I57" s="5" t="s">
        <v>20</v>
      </c>
      <c r="K57" s="5" t="s">
        <v>19</v>
      </c>
    </row>
    <row r="58" spans="1:11" ht="15" x14ac:dyDescent="0.25">
      <c r="A58" s="1" t="s">
        <v>111</v>
      </c>
      <c r="B58" s="5" t="s">
        <v>19</v>
      </c>
      <c r="E58" s="5" t="s">
        <v>20</v>
      </c>
      <c r="G58" s="5" t="s">
        <v>19</v>
      </c>
      <c r="I58" s="5" t="s">
        <v>20</v>
      </c>
      <c r="K58" s="5" t="s">
        <v>46</v>
      </c>
    </row>
    <row r="59" spans="1:11" ht="15" x14ac:dyDescent="0.25">
      <c r="A59" s="1" t="s">
        <v>115</v>
      </c>
      <c r="B59" s="5" t="s">
        <v>19</v>
      </c>
      <c r="E59" s="5" t="s">
        <v>20</v>
      </c>
      <c r="G59" s="5" t="s">
        <v>19</v>
      </c>
      <c r="I59" s="5" t="s">
        <v>20</v>
      </c>
      <c r="K59" s="5" t="s">
        <v>46</v>
      </c>
    </row>
    <row r="60" spans="1:11" ht="12.75" x14ac:dyDescent="0.2">
      <c r="A60" s="5" t="s">
        <v>254</v>
      </c>
      <c r="B60" s="5" t="s">
        <v>19</v>
      </c>
      <c r="E60" s="5" t="s">
        <v>19</v>
      </c>
      <c r="G60" s="5" t="s">
        <v>20</v>
      </c>
      <c r="I60" s="5" t="s">
        <v>19</v>
      </c>
      <c r="K60" s="5" t="s">
        <v>46</v>
      </c>
    </row>
    <row r="61" spans="1:11" ht="12.75" x14ac:dyDescent="0.2">
      <c r="A61" s="5" t="s">
        <v>219</v>
      </c>
      <c r="B61" s="5" t="s">
        <v>20</v>
      </c>
      <c r="E61" s="5" t="s">
        <v>20</v>
      </c>
      <c r="G61" s="5" t="s">
        <v>20</v>
      </c>
      <c r="I61" s="5" t="s">
        <v>20</v>
      </c>
      <c r="K61" s="5" t="s">
        <v>46</v>
      </c>
    </row>
    <row r="62" spans="1:11" ht="12.75" x14ac:dyDescent="0.2">
      <c r="A62" s="5" t="s">
        <v>250</v>
      </c>
      <c r="B62" s="5" t="s">
        <v>20</v>
      </c>
      <c r="E62" s="5" t="s">
        <v>19</v>
      </c>
      <c r="G62" s="5" t="s">
        <v>20</v>
      </c>
      <c r="I62" s="5" t="s">
        <v>20</v>
      </c>
      <c r="K62" s="5" t="s">
        <v>46</v>
      </c>
    </row>
    <row r="63" spans="1:11" ht="12.75" x14ac:dyDescent="0.2">
      <c r="A63" s="5" t="s">
        <v>252</v>
      </c>
      <c r="B63" s="5" t="s">
        <v>19</v>
      </c>
      <c r="E63" s="5" t="s">
        <v>20</v>
      </c>
      <c r="G63" s="5" t="s">
        <v>20</v>
      </c>
      <c r="I63" s="5" t="s">
        <v>20</v>
      </c>
      <c r="K63" s="5" t="s">
        <v>46</v>
      </c>
    </row>
    <row r="64" spans="1:11" ht="12.75" x14ac:dyDescent="0.2">
      <c r="A64" s="5" t="s">
        <v>171</v>
      </c>
      <c r="B64" s="5" t="s">
        <v>19</v>
      </c>
      <c r="E64" s="5" t="s">
        <v>20</v>
      </c>
      <c r="G64" s="5" t="s">
        <v>18</v>
      </c>
      <c r="I64" s="5" t="s">
        <v>20</v>
      </c>
      <c r="K64" s="5" t="s">
        <v>20</v>
      </c>
    </row>
    <row r="65" spans="1:11" ht="12.75" x14ac:dyDescent="0.2">
      <c r="A65" s="5" t="s">
        <v>131</v>
      </c>
      <c r="B65" s="5" t="s">
        <v>19</v>
      </c>
      <c r="E65" s="5" t="s">
        <v>20</v>
      </c>
      <c r="G65" s="5" t="s">
        <v>20</v>
      </c>
      <c r="I65" s="5" t="s">
        <v>19</v>
      </c>
      <c r="K65" s="5" t="s">
        <v>46</v>
      </c>
    </row>
    <row r="66" spans="1:11" ht="12.75" x14ac:dyDescent="0.2">
      <c r="A66" s="3" t="s">
        <v>161</v>
      </c>
      <c r="B66" s="5" t="s">
        <v>20</v>
      </c>
      <c r="E66" s="5" t="s">
        <v>20</v>
      </c>
      <c r="G66" s="5" t="s">
        <v>20</v>
      </c>
      <c r="I66" s="5" t="s">
        <v>20</v>
      </c>
      <c r="K66" s="5" t="s">
        <v>20</v>
      </c>
    </row>
    <row r="67" spans="1:11" ht="12.75" x14ac:dyDescent="0.2">
      <c r="A67" s="3" t="s">
        <v>86</v>
      </c>
      <c r="B67" s="5" t="s">
        <v>20</v>
      </c>
      <c r="E67" s="5" t="s">
        <v>20</v>
      </c>
      <c r="G67" s="5" t="s">
        <v>20</v>
      </c>
      <c r="I67" s="5" t="s">
        <v>20</v>
      </c>
      <c r="K67" s="5" t="s">
        <v>20</v>
      </c>
    </row>
    <row r="68" spans="1:11" ht="12.75" x14ac:dyDescent="0.2">
      <c r="A68" s="3" t="s">
        <v>292</v>
      </c>
      <c r="B68" s="5" t="s">
        <v>19</v>
      </c>
      <c r="E68" s="5" t="s">
        <v>19</v>
      </c>
      <c r="G68" s="5" t="s">
        <v>19</v>
      </c>
      <c r="I68" s="5" t="s">
        <v>19</v>
      </c>
      <c r="K68" s="5" t="s">
        <v>19</v>
      </c>
    </row>
    <row r="69" spans="1:11" ht="12.75" x14ac:dyDescent="0.2">
      <c r="A69" s="3" t="s">
        <v>249</v>
      </c>
      <c r="B69" s="5" t="s">
        <v>19</v>
      </c>
      <c r="E69" s="5" t="s">
        <v>20</v>
      </c>
      <c r="G69" s="5" t="s">
        <v>20</v>
      </c>
      <c r="I69" s="5" t="s">
        <v>19</v>
      </c>
      <c r="K69" s="5" t="s">
        <v>20</v>
      </c>
    </row>
    <row r="70" spans="1:11" ht="12.75" x14ac:dyDescent="0.2">
      <c r="A70" s="10" t="s">
        <v>201</v>
      </c>
      <c r="B70" s="5" t="s">
        <v>19</v>
      </c>
      <c r="E70" s="5" t="s">
        <v>20</v>
      </c>
      <c r="G70" s="5" t="s">
        <v>19</v>
      </c>
      <c r="I70" s="5" t="s">
        <v>20</v>
      </c>
      <c r="K70" s="5" t="s">
        <v>20</v>
      </c>
    </row>
    <row r="71" spans="1:11" ht="12.75" x14ac:dyDescent="0.2">
      <c r="A71" s="10" t="s">
        <v>204</v>
      </c>
      <c r="B71" s="5" t="s">
        <v>18</v>
      </c>
      <c r="E71" s="5" t="s">
        <v>20</v>
      </c>
      <c r="G71" s="5" t="s">
        <v>19</v>
      </c>
      <c r="I71" s="5" t="s">
        <v>20</v>
      </c>
      <c r="K71" s="5" t="s">
        <v>20</v>
      </c>
    </row>
    <row r="72" spans="1:11" ht="12.75" x14ac:dyDescent="0.2">
      <c r="A72" s="10" t="s">
        <v>182</v>
      </c>
      <c r="B72" s="5" t="s">
        <v>19</v>
      </c>
      <c r="E72" s="5" t="s">
        <v>20</v>
      </c>
      <c r="G72" s="5" t="s">
        <v>19</v>
      </c>
      <c r="I72" s="5" t="s">
        <v>20</v>
      </c>
      <c r="K72" s="5" t="s">
        <v>20</v>
      </c>
    </row>
    <row r="73" spans="1:11" ht="12.75" x14ac:dyDescent="0.2">
      <c r="A73" s="10" t="s">
        <v>175</v>
      </c>
      <c r="B73" s="5" t="s">
        <v>19</v>
      </c>
      <c r="E73" s="5" t="s">
        <v>20</v>
      </c>
      <c r="G73" s="5" t="s">
        <v>19</v>
      </c>
      <c r="I73" s="5" t="s">
        <v>20</v>
      </c>
      <c r="K73" s="5" t="s">
        <v>20</v>
      </c>
    </row>
    <row r="74" spans="1:11" ht="12.75" x14ac:dyDescent="0.2">
      <c r="A74" s="10" t="s">
        <v>213</v>
      </c>
      <c r="B74" s="5" t="s">
        <v>19</v>
      </c>
      <c r="E74" s="5" t="s">
        <v>20</v>
      </c>
      <c r="G74" s="5" t="s">
        <v>19</v>
      </c>
      <c r="I74" s="5" t="s">
        <v>20</v>
      </c>
      <c r="K74" s="5" t="s">
        <v>20</v>
      </c>
    </row>
    <row r="75" spans="1:11" ht="15" x14ac:dyDescent="0.25">
      <c r="A75" s="1" t="s">
        <v>79</v>
      </c>
      <c r="B75" s="5" t="s">
        <v>20</v>
      </c>
      <c r="E75" s="5" t="s">
        <v>20</v>
      </c>
      <c r="G75" s="5" t="s">
        <v>20</v>
      </c>
      <c r="I75" s="5" t="s">
        <v>19</v>
      </c>
      <c r="K75" s="5" t="s">
        <v>20</v>
      </c>
    </row>
    <row r="76" spans="1:11" ht="15" x14ac:dyDescent="0.25">
      <c r="A76" s="1" t="s">
        <v>108</v>
      </c>
      <c r="B76" s="5" t="s">
        <v>19</v>
      </c>
      <c r="E76" s="5" t="s">
        <v>20</v>
      </c>
      <c r="G76" s="5" t="s">
        <v>20</v>
      </c>
      <c r="I76" s="5" t="s">
        <v>20</v>
      </c>
      <c r="K76" s="5" t="s">
        <v>19</v>
      </c>
    </row>
    <row r="77" spans="1:11" ht="12.75" x14ac:dyDescent="0.2">
      <c r="A77" s="5" t="s">
        <v>192</v>
      </c>
      <c r="B77" s="5" t="s">
        <v>20</v>
      </c>
      <c r="E77" s="5" t="s">
        <v>20</v>
      </c>
      <c r="G77" s="5" t="s">
        <v>20</v>
      </c>
      <c r="I77" s="5" t="s">
        <v>20</v>
      </c>
      <c r="K77" s="5" t="s">
        <v>20</v>
      </c>
    </row>
    <row r="78" spans="1:11" ht="12.75" x14ac:dyDescent="0.2">
      <c r="A78" s="5" t="s">
        <v>92</v>
      </c>
      <c r="B78" s="5" t="s">
        <v>20</v>
      </c>
      <c r="E78" s="5" t="s">
        <v>20</v>
      </c>
      <c r="G78" s="5" t="s">
        <v>20</v>
      </c>
      <c r="I78" s="5" t="s">
        <v>19</v>
      </c>
      <c r="K78" s="5" t="s">
        <v>20</v>
      </c>
    </row>
    <row r="79" spans="1:11" ht="12.75" x14ac:dyDescent="0.2">
      <c r="A79" s="5" t="s">
        <v>52</v>
      </c>
      <c r="B79" s="5" t="s">
        <v>20</v>
      </c>
      <c r="E79" s="5" t="s">
        <v>20</v>
      </c>
      <c r="G79" s="5" t="s">
        <v>20</v>
      </c>
      <c r="I79" s="5" t="s">
        <v>20</v>
      </c>
      <c r="K79" s="5" t="s">
        <v>20</v>
      </c>
    </row>
    <row r="80" spans="1:11" ht="12.75" x14ac:dyDescent="0.2">
      <c r="A80" s="5" t="s">
        <v>173</v>
      </c>
      <c r="B80" s="5" t="s">
        <v>20</v>
      </c>
      <c r="E80" s="5" t="s">
        <v>20</v>
      </c>
      <c r="G80" s="5" t="s">
        <v>20</v>
      </c>
      <c r="I80" s="5" t="s">
        <v>20</v>
      </c>
      <c r="K80" s="5" t="s">
        <v>20</v>
      </c>
    </row>
    <row r="81" spans="1:11" ht="15" x14ac:dyDescent="0.25">
      <c r="A81" s="1" t="s">
        <v>89</v>
      </c>
      <c r="B81" s="5" t="s">
        <v>19</v>
      </c>
      <c r="E81" s="5" t="s">
        <v>20</v>
      </c>
      <c r="G81" s="5" t="s">
        <v>20</v>
      </c>
      <c r="I81" s="5" t="s">
        <v>20</v>
      </c>
      <c r="K81" s="5" t="s">
        <v>20</v>
      </c>
    </row>
    <row r="82" spans="1:11" ht="15" x14ac:dyDescent="0.25">
      <c r="A82" s="1" t="s">
        <v>207</v>
      </c>
      <c r="B82" s="5" t="s">
        <v>20</v>
      </c>
      <c r="E82" s="5" t="s">
        <v>20</v>
      </c>
      <c r="G82" s="5" t="s">
        <v>20</v>
      </c>
      <c r="I82" s="5" t="s">
        <v>20</v>
      </c>
      <c r="K82" s="5" t="s">
        <v>20</v>
      </c>
    </row>
    <row r="83" spans="1:11" ht="12.75" x14ac:dyDescent="0.2">
      <c r="A83" s="3" t="s">
        <v>256</v>
      </c>
      <c r="B83" s="5" t="s">
        <v>20</v>
      </c>
      <c r="E83" s="5" t="s">
        <v>20</v>
      </c>
      <c r="G83" s="5" t="s">
        <v>20</v>
      </c>
      <c r="I83" s="5" t="s">
        <v>20</v>
      </c>
      <c r="K83" s="5" t="s">
        <v>20</v>
      </c>
    </row>
    <row r="84" spans="1:11" ht="12.75" x14ac:dyDescent="0.2">
      <c r="A84" s="3" t="s">
        <v>155</v>
      </c>
      <c r="B84" s="5" t="s">
        <v>19</v>
      </c>
      <c r="E84" s="5" t="s">
        <v>20</v>
      </c>
      <c r="G84" s="5" t="s">
        <v>19</v>
      </c>
      <c r="I84" s="5" t="s">
        <v>20</v>
      </c>
      <c r="K84" s="5" t="s">
        <v>19</v>
      </c>
    </row>
    <row r="85" spans="1:11" ht="12.75" x14ac:dyDescent="0.2">
      <c r="A85" s="3" t="s">
        <v>243</v>
      </c>
      <c r="B85" s="5" t="s">
        <v>19</v>
      </c>
      <c r="E85" s="5" t="s">
        <v>19</v>
      </c>
      <c r="G85" s="5" t="s">
        <v>19</v>
      </c>
      <c r="I85" s="5" t="s">
        <v>19</v>
      </c>
      <c r="K85" s="5" t="s">
        <v>19</v>
      </c>
    </row>
    <row r="86" spans="1:11" ht="12.75" x14ac:dyDescent="0.2">
      <c r="A86" s="3" t="s">
        <v>164</v>
      </c>
      <c r="B86" s="5" t="s">
        <v>19</v>
      </c>
      <c r="E86" s="5" t="s">
        <v>20</v>
      </c>
      <c r="G86" s="5" t="s">
        <v>20</v>
      </c>
      <c r="I86" s="5" t="s">
        <v>20</v>
      </c>
      <c r="K86" s="5" t="s">
        <v>20</v>
      </c>
    </row>
    <row r="87" spans="1:11" ht="12.75" x14ac:dyDescent="0.2">
      <c r="A87" s="3" t="s">
        <v>223</v>
      </c>
      <c r="B87" s="5" t="s">
        <v>19</v>
      </c>
      <c r="E87" s="5" t="s">
        <v>19</v>
      </c>
      <c r="G87" s="5" t="s">
        <v>19</v>
      </c>
      <c r="I87" s="5" t="s">
        <v>20</v>
      </c>
      <c r="K87" s="5" t="s">
        <v>19</v>
      </c>
    </row>
    <row r="88" spans="1:11" ht="12.75" x14ac:dyDescent="0.2">
      <c r="A88" s="3" t="s">
        <v>273</v>
      </c>
      <c r="B88" s="5" t="s">
        <v>18</v>
      </c>
      <c r="E88" s="5" t="s">
        <v>20</v>
      </c>
      <c r="G88" s="5" t="s">
        <v>20</v>
      </c>
      <c r="I88" s="5" t="s">
        <v>20</v>
      </c>
      <c r="K88" s="5" t="s">
        <v>20</v>
      </c>
    </row>
    <row r="89" spans="1:11" ht="12.75" x14ac:dyDescent="0.2">
      <c r="A89" s="3" t="s">
        <v>291</v>
      </c>
      <c r="B89" s="5" t="s">
        <v>20</v>
      </c>
      <c r="E89" s="5" t="s">
        <v>20</v>
      </c>
      <c r="G89" s="5" t="s">
        <v>20</v>
      </c>
      <c r="I89" s="5" t="s">
        <v>20</v>
      </c>
      <c r="K89" s="5" t="s">
        <v>20</v>
      </c>
    </row>
    <row r="90" spans="1:11" ht="15" x14ac:dyDescent="0.25">
      <c r="A90" s="1" t="s">
        <v>179</v>
      </c>
      <c r="B90" s="5" t="s">
        <v>20</v>
      </c>
      <c r="E90" s="5" t="s">
        <v>19</v>
      </c>
      <c r="G90" s="5" t="s">
        <v>20</v>
      </c>
      <c r="I90" s="5" t="s">
        <v>20</v>
      </c>
      <c r="K90" s="5" t="s">
        <v>20</v>
      </c>
    </row>
    <row r="91" spans="1:11" ht="15" x14ac:dyDescent="0.25">
      <c r="A91" s="1" t="s">
        <v>185</v>
      </c>
      <c r="B91" s="5" t="s">
        <v>20</v>
      </c>
      <c r="E91" s="5" t="s">
        <v>19</v>
      </c>
      <c r="G91" s="5" t="s">
        <v>20</v>
      </c>
      <c r="I91" s="5" t="s">
        <v>20</v>
      </c>
      <c r="K91" s="5" t="s">
        <v>20</v>
      </c>
    </row>
    <row r="92" spans="1:11" ht="15" x14ac:dyDescent="0.25">
      <c r="A92" s="1" t="s">
        <v>67</v>
      </c>
      <c r="B92" s="5" t="s">
        <v>20</v>
      </c>
      <c r="E92" s="5" t="s">
        <v>19</v>
      </c>
      <c r="G92" s="5" t="s">
        <v>20</v>
      </c>
      <c r="I92" s="5" t="s">
        <v>20</v>
      </c>
      <c r="K92" s="5" t="s">
        <v>19</v>
      </c>
    </row>
    <row r="93" spans="1:11" ht="15" x14ac:dyDescent="0.25">
      <c r="A93" s="1" t="s">
        <v>140</v>
      </c>
      <c r="B93" s="5" t="s">
        <v>19</v>
      </c>
      <c r="E93" s="5" t="s">
        <v>19</v>
      </c>
      <c r="G93" s="5" t="s">
        <v>20</v>
      </c>
      <c r="I93" s="5" t="s">
        <v>19</v>
      </c>
      <c r="K93" s="5" t="s">
        <v>19</v>
      </c>
    </row>
    <row r="94" spans="1:11" ht="15" x14ac:dyDescent="0.25">
      <c r="A94" s="1" t="s">
        <v>229</v>
      </c>
      <c r="B94" s="5" t="s">
        <v>18</v>
      </c>
      <c r="E94" s="5" t="s">
        <v>20</v>
      </c>
      <c r="G94" s="5" t="s">
        <v>19</v>
      </c>
      <c r="I94" s="5" t="s">
        <v>20</v>
      </c>
      <c r="K94" s="5" t="s">
        <v>20</v>
      </c>
    </row>
    <row r="95" spans="1:11" ht="15" x14ac:dyDescent="0.25">
      <c r="A95" s="1" t="s">
        <v>104</v>
      </c>
      <c r="B95" s="5" t="s">
        <v>19</v>
      </c>
      <c r="E95" s="5" t="s">
        <v>20</v>
      </c>
      <c r="G95" s="5" t="s">
        <v>20</v>
      </c>
      <c r="I95" s="5" t="s">
        <v>19</v>
      </c>
      <c r="K95" s="5" t="s">
        <v>19</v>
      </c>
    </row>
    <row r="96" spans="1:11" ht="15" x14ac:dyDescent="0.25">
      <c r="A96" s="1" t="s">
        <v>133</v>
      </c>
      <c r="B96" s="5" t="s">
        <v>18</v>
      </c>
      <c r="E96" s="5" t="s">
        <v>19</v>
      </c>
      <c r="G96" s="5" t="s">
        <v>19</v>
      </c>
      <c r="I96" s="5" t="s">
        <v>19</v>
      </c>
      <c r="K96" s="5" t="s">
        <v>20</v>
      </c>
    </row>
    <row r="97" spans="1:12" ht="15" x14ac:dyDescent="0.25">
      <c r="A97" s="1" t="s">
        <v>143</v>
      </c>
      <c r="B97" s="5" t="s">
        <v>20</v>
      </c>
      <c r="E97" s="5" t="s">
        <v>20</v>
      </c>
      <c r="G97" s="5" t="s">
        <v>20</v>
      </c>
      <c r="I97" s="5" t="s">
        <v>20</v>
      </c>
      <c r="K97" s="5" t="s">
        <v>20</v>
      </c>
    </row>
    <row r="98" spans="1:12" ht="15" x14ac:dyDescent="0.25">
      <c r="A98" s="1" t="s">
        <v>74</v>
      </c>
      <c r="B98" s="5" t="s">
        <v>20</v>
      </c>
      <c r="E98" s="5" t="s">
        <v>20</v>
      </c>
      <c r="G98" s="5" t="s">
        <v>20</v>
      </c>
      <c r="I98" s="5" t="s">
        <v>20</v>
      </c>
      <c r="K98" s="5" t="s">
        <v>20</v>
      </c>
    </row>
    <row r="99" spans="1:12" ht="15" x14ac:dyDescent="0.25">
      <c r="A99" s="1" t="s">
        <v>76</v>
      </c>
      <c r="B99" s="5" t="s">
        <v>46</v>
      </c>
      <c r="E99" s="5" t="s">
        <v>20</v>
      </c>
      <c r="G99" s="5" t="s">
        <v>20</v>
      </c>
      <c r="I99" s="5" t="s">
        <v>20</v>
      </c>
      <c r="K99" s="5" t="s">
        <v>20</v>
      </c>
      <c r="L99" s="2"/>
    </row>
    <row r="100" spans="1:12" ht="12.75" x14ac:dyDescent="0.2">
      <c r="A100" s="3" t="s">
        <v>197</v>
      </c>
      <c r="B100" s="5" t="s">
        <v>20</v>
      </c>
      <c r="E100" s="5" t="s">
        <v>20</v>
      </c>
      <c r="G100" s="5" t="s">
        <v>20</v>
      </c>
      <c r="I100" s="5" t="s">
        <v>20</v>
      </c>
      <c r="K100" s="5" t="s">
        <v>20</v>
      </c>
      <c r="L100" s="2"/>
    </row>
    <row r="101" spans="1:12" ht="12.75" x14ac:dyDescent="0.2">
      <c r="A101" s="3" t="s">
        <v>126</v>
      </c>
      <c r="B101" s="5" t="s">
        <v>20</v>
      </c>
      <c r="E101" s="5" t="s">
        <v>20</v>
      </c>
      <c r="G101" s="5" t="s">
        <v>20</v>
      </c>
      <c r="I101" s="5" t="s">
        <v>20</v>
      </c>
      <c r="K101" s="5" t="s">
        <v>20</v>
      </c>
      <c r="L101" s="2"/>
    </row>
    <row r="102" spans="1:12" ht="12.75" x14ac:dyDescent="0.2">
      <c r="A102" s="3" t="s">
        <v>287</v>
      </c>
      <c r="B102" s="5" t="s">
        <v>20</v>
      </c>
      <c r="E102" s="5" t="s">
        <v>20</v>
      </c>
      <c r="G102" s="5" t="s">
        <v>20</v>
      </c>
      <c r="I102" s="5" t="s">
        <v>20</v>
      </c>
      <c r="K102" s="5" t="s">
        <v>20</v>
      </c>
      <c r="L102" s="2"/>
    </row>
    <row r="103" spans="1:12" ht="12.75" x14ac:dyDescent="0.2">
      <c r="A103" s="3" t="s">
        <v>288</v>
      </c>
      <c r="B103" s="5" t="s">
        <v>20</v>
      </c>
      <c r="E103" s="5" t="s">
        <v>20</v>
      </c>
      <c r="G103" s="5" t="s">
        <v>20</v>
      </c>
      <c r="I103" s="5" t="s">
        <v>20</v>
      </c>
      <c r="K103" s="5" t="s">
        <v>20</v>
      </c>
      <c r="L103" s="2"/>
    </row>
    <row r="104" spans="1:12" ht="12.75" x14ac:dyDescent="0.2">
      <c r="B104" s="5"/>
      <c r="E104" s="5"/>
      <c r="G104" s="5"/>
      <c r="I104" s="5"/>
      <c r="K104" s="5"/>
      <c r="L104" s="2"/>
    </row>
    <row r="105" spans="1:12" ht="12.75" x14ac:dyDescent="0.2">
      <c r="B105" s="5"/>
      <c r="E105" s="5"/>
      <c r="G105" s="5"/>
      <c r="I105" s="5"/>
      <c r="K105" s="5"/>
      <c r="L105" s="2"/>
    </row>
    <row r="106" spans="1:12" ht="12.75" x14ac:dyDescent="0.2">
      <c r="B106" s="5"/>
      <c r="E106" s="5"/>
      <c r="G106" s="5"/>
      <c r="I106" s="5"/>
      <c r="K106" s="5"/>
      <c r="L106" s="2"/>
    </row>
    <row r="107" spans="1:12" ht="12.75" x14ac:dyDescent="0.2">
      <c r="B107" s="5"/>
      <c r="E107" s="5"/>
      <c r="G107" s="5"/>
      <c r="I107" s="5"/>
      <c r="K107" s="5"/>
      <c r="L107" s="2"/>
    </row>
    <row r="108" spans="1:12" ht="12.75" x14ac:dyDescent="0.2">
      <c r="B108" s="5"/>
      <c r="E108" s="5"/>
      <c r="G108" s="5"/>
      <c r="I108" s="5"/>
      <c r="K108" s="5"/>
      <c r="L108" s="2"/>
    </row>
    <row r="109" spans="1:12" ht="12.75" x14ac:dyDescent="0.2">
      <c r="B109" s="5"/>
      <c r="E109" s="5"/>
      <c r="G109" s="5"/>
      <c r="I109" s="5"/>
      <c r="K109" s="5"/>
      <c r="L109" s="2"/>
    </row>
    <row r="110" spans="1:12" ht="12.75" x14ac:dyDescent="0.2">
      <c r="B110" s="5"/>
      <c r="E110" s="5"/>
      <c r="G110" s="5"/>
      <c r="I110" s="5"/>
      <c r="K110" s="5"/>
      <c r="L110" s="2"/>
    </row>
    <row r="111" spans="1:12" ht="12.75" x14ac:dyDescent="0.2">
      <c r="B111" s="5"/>
      <c r="E111" s="5"/>
      <c r="G111" s="5"/>
      <c r="I111" s="5"/>
      <c r="K111" s="5"/>
      <c r="L111" s="2"/>
    </row>
    <row r="112" spans="1:12" ht="12.75" x14ac:dyDescent="0.2">
      <c r="B112" s="5"/>
      <c r="E112" s="5"/>
      <c r="G112" s="5"/>
      <c r="I112" s="5"/>
      <c r="K112" s="5"/>
      <c r="L112" s="2"/>
    </row>
    <row r="113" spans="2:12" ht="12.75" x14ac:dyDescent="0.2">
      <c r="B113" s="5"/>
      <c r="E113" s="5"/>
      <c r="G113" s="5"/>
      <c r="I113" s="5"/>
      <c r="K113" s="5"/>
      <c r="L113" s="2"/>
    </row>
    <row r="114" spans="2:12" ht="12.75" x14ac:dyDescent="0.2">
      <c r="B114" s="5"/>
      <c r="E114" s="5"/>
      <c r="G114" s="5"/>
      <c r="I114" s="5"/>
      <c r="K114" s="5"/>
      <c r="L114" s="2"/>
    </row>
    <row r="115" spans="2:12" ht="12.75" x14ac:dyDescent="0.2">
      <c r="B115" s="5"/>
      <c r="E115" s="5"/>
      <c r="G115" s="5"/>
      <c r="I115" s="5"/>
      <c r="K115" s="5"/>
      <c r="L115" s="2"/>
    </row>
    <row r="116" spans="2:12" ht="12.75" x14ac:dyDescent="0.2">
      <c r="B116" s="5"/>
      <c r="E116" s="5"/>
      <c r="G116" s="5"/>
      <c r="I116" s="5"/>
      <c r="K116" s="5"/>
      <c r="L116" s="2"/>
    </row>
    <row r="117" spans="2:12" ht="12.75" x14ac:dyDescent="0.2">
      <c r="B117" s="5"/>
      <c r="E117" s="5"/>
      <c r="G117" s="5"/>
      <c r="I117" s="5"/>
      <c r="K117" s="5"/>
      <c r="L117" s="2"/>
    </row>
    <row r="118" spans="2:12" ht="12.75" x14ac:dyDescent="0.2">
      <c r="B118" s="5"/>
      <c r="E118" s="5"/>
      <c r="G118" s="5"/>
      <c r="I118" s="5"/>
      <c r="K118" s="5"/>
      <c r="L118" s="2"/>
    </row>
    <row r="119" spans="2:12" ht="12.75" x14ac:dyDescent="0.2">
      <c r="B119" s="5"/>
      <c r="E119" s="5"/>
      <c r="G119" s="5"/>
      <c r="I119" s="5"/>
      <c r="K119" s="5"/>
      <c r="L119" s="2"/>
    </row>
    <row r="120" spans="2:12" ht="12.75" x14ac:dyDescent="0.2">
      <c r="B120" s="5"/>
      <c r="E120" s="5"/>
      <c r="G120" s="5"/>
      <c r="I120" s="5"/>
      <c r="K120" s="5"/>
      <c r="L120" s="2"/>
    </row>
    <row r="121" spans="2:12" ht="12.75" x14ac:dyDescent="0.2">
      <c r="B121" s="5"/>
      <c r="E121" s="5"/>
      <c r="G121" s="5"/>
      <c r="I121" s="5"/>
      <c r="K121" s="5"/>
      <c r="L121" s="2"/>
    </row>
    <row r="122" spans="2:12" ht="12.75" x14ac:dyDescent="0.2">
      <c r="B122" s="5"/>
      <c r="E122" s="5"/>
      <c r="G122" s="5"/>
      <c r="I122" s="5"/>
      <c r="K122" s="5"/>
      <c r="L122" s="2"/>
    </row>
    <row r="123" spans="2:12" ht="12.75" x14ac:dyDescent="0.2">
      <c r="B123" s="5"/>
      <c r="E123" s="5"/>
      <c r="G123" s="5"/>
      <c r="I123" s="5"/>
      <c r="K123" s="5"/>
      <c r="L123" s="2"/>
    </row>
    <row r="124" spans="2:12" ht="12.75" x14ac:dyDescent="0.2">
      <c r="B124" s="5"/>
      <c r="E124" s="5"/>
      <c r="G124" s="5"/>
      <c r="I124" s="5"/>
      <c r="K124" s="5"/>
      <c r="L124" s="2"/>
    </row>
    <row r="125" spans="2:12" ht="12.75" x14ac:dyDescent="0.2">
      <c r="B125" s="5"/>
      <c r="E125" s="5"/>
      <c r="G125" s="5"/>
      <c r="I125" s="5"/>
      <c r="K125" s="5"/>
      <c r="L125" s="2"/>
    </row>
    <row r="126" spans="2:12" ht="12.75" x14ac:dyDescent="0.2">
      <c r="B126" s="5"/>
      <c r="E126" s="5"/>
      <c r="G126" s="5"/>
      <c r="I126" s="5"/>
      <c r="K126" s="5"/>
      <c r="L126" s="2"/>
    </row>
    <row r="127" spans="2:12" ht="12.75" x14ac:dyDescent="0.2">
      <c r="B127" s="5"/>
      <c r="E127" s="5"/>
      <c r="G127" s="5"/>
      <c r="I127" s="5"/>
      <c r="K127" s="5"/>
      <c r="L127" s="2"/>
    </row>
    <row r="128" spans="2:12" ht="12.75" x14ac:dyDescent="0.2">
      <c r="B128" s="5"/>
      <c r="E128" s="5"/>
      <c r="G128" s="5"/>
      <c r="I128" s="5"/>
      <c r="K128" s="5"/>
      <c r="L128" s="2"/>
    </row>
    <row r="129" spans="2:12" ht="12.75" x14ac:dyDescent="0.2">
      <c r="B129" s="5"/>
      <c r="E129" s="5"/>
      <c r="G129" s="5"/>
      <c r="I129" s="5"/>
      <c r="K129" s="5"/>
      <c r="L129" s="2"/>
    </row>
    <row r="130" spans="2:12" ht="12.75" x14ac:dyDescent="0.2">
      <c r="B130" s="5"/>
      <c r="E130" s="5"/>
      <c r="G130" s="5"/>
      <c r="I130" s="5"/>
      <c r="K130" s="5"/>
      <c r="L130" s="2"/>
    </row>
    <row r="131" spans="2:12" ht="12.75" x14ac:dyDescent="0.2">
      <c r="B131" s="5"/>
      <c r="E131" s="5"/>
      <c r="G131" s="5"/>
      <c r="I131" s="5"/>
      <c r="K131" s="5"/>
      <c r="L131" s="2"/>
    </row>
    <row r="132" spans="2:12" ht="12.75" x14ac:dyDescent="0.2">
      <c r="B132" s="5"/>
      <c r="E132" s="5"/>
      <c r="G132" s="5"/>
      <c r="I132" s="5"/>
      <c r="K132" s="5"/>
      <c r="L132" s="2"/>
    </row>
    <row r="133" spans="2:12" ht="12.75" x14ac:dyDescent="0.2">
      <c r="B133" s="5"/>
      <c r="E133" s="5"/>
      <c r="G133" s="5"/>
      <c r="I133" s="5"/>
      <c r="K133" s="5"/>
      <c r="L133" s="2"/>
    </row>
    <row r="134" spans="2:12" ht="12.75" x14ac:dyDescent="0.2">
      <c r="B134" s="5"/>
      <c r="E134" s="5"/>
      <c r="G134" s="5"/>
      <c r="I134" s="5"/>
      <c r="K134" s="5"/>
      <c r="L134" s="2"/>
    </row>
    <row r="135" spans="2:12" ht="12.75" x14ac:dyDescent="0.2">
      <c r="B135" s="5"/>
      <c r="E135" s="5"/>
      <c r="G135" s="5"/>
      <c r="I135" s="5"/>
      <c r="K135" s="5"/>
      <c r="L135" s="2"/>
    </row>
    <row r="136" spans="2:12" ht="12.75" x14ac:dyDescent="0.2">
      <c r="B136" s="5"/>
      <c r="E136" s="5"/>
      <c r="G136" s="5"/>
      <c r="I136" s="5"/>
      <c r="K136" s="5"/>
      <c r="L136" s="2"/>
    </row>
    <row r="137" spans="2:12" ht="12.75" x14ac:dyDescent="0.2">
      <c r="B137" s="5"/>
      <c r="E137" s="5"/>
      <c r="G137" s="5"/>
      <c r="I137" s="5"/>
      <c r="K137" s="5"/>
      <c r="L137" s="2"/>
    </row>
    <row r="138" spans="2:12" ht="12.75" x14ac:dyDescent="0.2">
      <c r="B138" s="5"/>
      <c r="E138" s="5"/>
      <c r="G138" s="5"/>
      <c r="I138" s="5"/>
      <c r="K138" s="5"/>
      <c r="L138" s="2"/>
    </row>
    <row r="139" spans="2:12" ht="12.75" x14ac:dyDescent="0.2">
      <c r="B139" s="5"/>
      <c r="E139" s="5"/>
      <c r="G139" s="5"/>
      <c r="I139" s="5"/>
      <c r="K139" s="5"/>
      <c r="L139" s="2"/>
    </row>
    <row r="140" spans="2:12" ht="12.75" x14ac:dyDescent="0.2">
      <c r="B140" s="5"/>
      <c r="E140" s="5"/>
      <c r="G140" s="5"/>
      <c r="I140" s="5"/>
      <c r="K140" s="5"/>
      <c r="L140" s="2"/>
    </row>
    <row r="141" spans="2:12" ht="12.75" x14ac:dyDescent="0.2">
      <c r="B141" s="5"/>
      <c r="E141" s="5"/>
      <c r="G141" s="5"/>
      <c r="I141" s="5"/>
      <c r="K141" s="5"/>
      <c r="L141" s="2"/>
    </row>
    <row r="142" spans="2:12" ht="12.75" x14ac:dyDescent="0.2">
      <c r="B142" s="5"/>
      <c r="E142" s="5"/>
      <c r="G142" s="5"/>
      <c r="I142" s="5"/>
      <c r="K142" s="5"/>
      <c r="L142" s="2"/>
    </row>
    <row r="143" spans="2:12" ht="12.75" x14ac:dyDescent="0.2">
      <c r="B143" s="5"/>
      <c r="E143" s="5"/>
      <c r="G143" s="5"/>
      <c r="I143" s="5"/>
      <c r="K143" s="5"/>
      <c r="L143" s="2"/>
    </row>
    <row r="144" spans="2:12" ht="12.75" x14ac:dyDescent="0.2">
      <c r="B144" s="5"/>
      <c r="E144" s="5"/>
      <c r="G144" s="5"/>
      <c r="I144" s="5"/>
      <c r="K144" s="5"/>
      <c r="L144" s="2"/>
    </row>
    <row r="145" spans="2:12" ht="12.75" x14ac:dyDescent="0.2">
      <c r="B145" s="5"/>
      <c r="E145" s="5"/>
      <c r="G145" s="5"/>
      <c r="I145" s="5"/>
      <c r="K145" s="5"/>
      <c r="L145" s="2"/>
    </row>
    <row r="146" spans="2:12" ht="12.75" x14ac:dyDescent="0.2">
      <c r="B146" s="5"/>
      <c r="E146" s="5"/>
      <c r="G146" s="5"/>
      <c r="I146" s="5"/>
      <c r="K146" s="5"/>
      <c r="L146" s="2"/>
    </row>
    <row r="147" spans="2:12" ht="12.75" x14ac:dyDescent="0.2">
      <c r="B147" s="5"/>
      <c r="E147" s="5"/>
      <c r="G147" s="5"/>
      <c r="I147" s="5"/>
      <c r="K147" s="5"/>
      <c r="L147" s="2"/>
    </row>
    <row r="148" spans="2:12" ht="12.75" x14ac:dyDescent="0.2">
      <c r="B148" s="5"/>
      <c r="E148" s="5"/>
      <c r="G148" s="5"/>
      <c r="I148" s="5"/>
      <c r="K148" s="5"/>
      <c r="L148" s="2"/>
    </row>
    <row r="149" spans="2:12" ht="12.75" x14ac:dyDescent="0.2">
      <c r="B149" s="5"/>
      <c r="E149" s="5"/>
      <c r="G149" s="5"/>
      <c r="I149" s="5"/>
      <c r="K149" s="5"/>
      <c r="L149" s="2"/>
    </row>
    <row r="150" spans="2:12" ht="12.75" x14ac:dyDescent="0.2">
      <c r="B150" s="5"/>
      <c r="E150" s="5"/>
      <c r="G150" s="5"/>
      <c r="I150" s="5"/>
      <c r="K150" s="5"/>
      <c r="L150" s="2"/>
    </row>
    <row r="151" spans="2:12" ht="12.75" x14ac:dyDescent="0.2">
      <c r="B151" s="5"/>
      <c r="E151" s="5"/>
      <c r="G151" s="5"/>
      <c r="I151" s="5"/>
      <c r="K151" s="5"/>
      <c r="L151" s="2"/>
    </row>
    <row r="152" spans="2:12" ht="12.75" x14ac:dyDescent="0.2">
      <c r="B152" s="5"/>
      <c r="E152" s="5"/>
      <c r="G152" s="5"/>
      <c r="I152" s="5"/>
      <c r="K152" s="5"/>
      <c r="L152" s="2"/>
    </row>
    <row r="153" spans="2:12" ht="12.75" x14ac:dyDescent="0.2">
      <c r="B153" s="5"/>
      <c r="E153" s="5"/>
      <c r="G153" s="5"/>
      <c r="I153" s="5"/>
      <c r="K153" s="5"/>
      <c r="L153" s="2"/>
    </row>
    <row r="154" spans="2:12" ht="12.75" x14ac:dyDescent="0.2">
      <c r="B154" s="5"/>
      <c r="E154" s="5"/>
      <c r="G154" s="5"/>
      <c r="I154" s="5"/>
      <c r="K154" s="5"/>
      <c r="L154" s="2"/>
    </row>
    <row r="155" spans="2:12" ht="12.75" x14ac:dyDescent="0.2">
      <c r="B155" s="5"/>
      <c r="E155" s="5"/>
      <c r="G155" s="5"/>
      <c r="I155" s="5"/>
      <c r="K155" s="5"/>
      <c r="L155" s="2"/>
    </row>
    <row r="156" spans="2:12" ht="12.75" x14ac:dyDescent="0.2">
      <c r="B156" s="5"/>
      <c r="E156" s="5"/>
      <c r="G156" s="5"/>
      <c r="I156" s="5"/>
      <c r="K156" s="5"/>
      <c r="L156" s="2"/>
    </row>
    <row r="157" spans="2:12" ht="12.75" x14ac:dyDescent="0.2">
      <c r="B157" s="5"/>
      <c r="E157" s="5"/>
      <c r="G157" s="5"/>
      <c r="I157" s="5"/>
      <c r="K157" s="5"/>
      <c r="L157" s="2"/>
    </row>
    <row r="158" spans="2:12" ht="12.75" x14ac:dyDescent="0.2">
      <c r="B158" s="5"/>
      <c r="E158" s="5"/>
      <c r="G158" s="5"/>
      <c r="I158" s="5"/>
      <c r="K158" s="5"/>
      <c r="L158" s="2"/>
    </row>
    <row r="159" spans="2:12" ht="12.75" x14ac:dyDescent="0.2">
      <c r="B159" s="5"/>
      <c r="E159" s="5"/>
      <c r="G159" s="5"/>
      <c r="I159" s="5"/>
      <c r="K159" s="5"/>
      <c r="L159" s="2"/>
    </row>
    <row r="160" spans="2:12" ht="12.75" x14ac:dyDescent="0.2">
      <c r="B160" s="5"/>
      <c r="E160" s="5"/>
      <c r="G160" s="5"/>
      <c r="I160" s="5"/>
      <c r="K160" s="5"/>
      <c r="L160" s="2"/>
    </row>
    <row r="161" spans="2:12" ht="12.75" x14ac:dyDescent="0.2">
      <c r="B161" s="5"/>
      <c r="E161" s="5"/>
      <c r="G161" s="5"/>
      <c r="I161" s="5"/>
      <c r="K161" s="5"/>
      <c r="L161" s="2"/>
    </row>
    <row r="162" spans="2:12" ht="12.75" x14ac:dyDescent="0.2">
      <c r="B162" s="5"/>
      <c r="E162" s="5"/>
      <c r="G162" s="5"/>
      <c r="I162" s="5"/>
      <c r="K162" s="5"/>
      <c r="L162" s="2"/>
    </row>
    <row r="163" spans="2:12" ht="12.75" x14ac:dyDescent="0.2">
      <c r="B163" s="5"/>
      <c r="E163" s="5"/>
      <c r="G163" s="5"/>
      <c r="I163" s="5"/>
      <c r="K163" s="5"/>
      <c r="L163" s="2"/>
    </row>
    <row r="164" spans="2:12" ht="12.75" x14ac:dyDescent="0.2">
      <c r="B164" s="5"/>
      <c r="E164" s="5"/>
      <c r="G164" s="5"/>
      <c r="I164" s="5"/>
      <c r="K164" s="5"/>
      <c r="L164" s="2"/>
    </row>
    <row r="165" spans="2:12" ht="12.75" x14ac:dyDescent="0.2">
      <c r="B165" s="5"/>
      <c r="E165" s="5"/>
      <c r="G165" s="5"/>
      <c r="I165" s="5"/>
      <c r="K165" s="5"/>
      <c r="L165" s="2"/>
    </row>
    <row r="166" spans="2:12" ht="12.75" x14ac:dyDescent="0.2">
      <c r="B166" s="5"/>
      <c r="E166" s="5"/>
      <c r="G166" s="5"/>
      <c r="I166" s="5"/>
      <c r="K166" s="5"/>
      <c r="L166" s="2"/>
    </row>
    <row r="167" spans="2:12" ht="12.75" x14ac:dyDescent="0.2">
      <c r="B167" s="5"/>
      <c r="E167" s="5"/>
      <c r="G167" s="5"/>
      <c r="I167" s="5"/>
      <c r="K167" s="5"/>
      <c r="L167" s="2"/>
    </row>
    <row r="168" spans="2:12" ht="12.75" x14ac:dyDescent="0.2">
      <c r="B168" s="5"/>
      <c r="E168" s="5"/>
      <c r="G168" s="5"/>
      <c r="I168" s="5"/>
      <c r="K168" s="5"/>
      <c r="L168" s="2"/>
    </row>
    <row r="169" spans="2:12" ht="12.75" x14ac:dyDescent="0.2">
      <c r="B169" s="5"/>
      <c r="E169" s="5"/>
      <c r="G169" s="5"/>
      <c r="I169" s="5"/>
      <c r="K169" s="5"/>
      <c r="L169" s="2"/>
    </row>
    <row r="170" spans="2:12" ht="12.75" x14ac:dyDescent="0.2">
      <c r="B170" s="5"/>
      <c r="E170" s="5"/>
      <c r="G170" s="5"/>
      <c r="I170" s="5"/>
      <c r="K170" s="5"/>
      <c r="L170" s="2"/>
    </row>
    <row r="171" spans="2:12" ht="12.75" x14ac:dyDescent="0.2">
      <c r="B171" s="5"/>
      <c r="E171" s="5"/>
      <c r="G171" s="5"/>
      <c r="I171" s="5"/>
      <c r="K171" s="5"/>
      <c r="L171" s="2"/>
    </row>
    <row r="172" spans="2:12" ht="12.75" x14ac:dyDescent="0.2">
      <c r="B172" s="5"/>
      <c r="E172" s="5"/>
      <c r="G172" s="5"/>
      <c r="I172" s="5"/>
      <c r="K172" s="5"/>
      <c r="L172" s="2"/>
    </row>
    <row r="173" spans="2:12" ht="12.75" x14ac:dyDescent="0.2">
      <c r="B173" s="5"/>
      <c r="E173" s="5"/>
      <c r="G173" s="5"/>
      <c r="I173" s="5"/>
      <c r="K173" s="5"/>
      <c r="L173" s="2"/>
    </row>
    <row r="174" spans="2:12" ht="12.75" x14ac:dyDescent="0.2">
      <c r="B174" s="5"/>
      <c r="E174" s="5"/>
      <c r="G174" s="5"/>
      <c r="I174" s="5"/>
      <c r="K174" s="5"/>
      <c r="L174" s="2"/>
    </row>
    <row r="175" spans="2:12" ht="12.75" x14ac:dyDescent="0.2">
      <c r="B175" s="5"/>
      <c r="E175" s="5"/>
      <c r="G175" s="5"/>
      <c r="I175" s="5"/>
      <c r="K175" s="5"/>
      <c r="L175" s="2"/>
    </row>
    <row r="176" spans="2:12" ht="12.75" x14ac:dyDescent="0.2">
      <c r="B176" s="5"/>
      <c r="E176" s="5"/>
      <c r="G176" s="5"/>
      <c r="I176" s="5"/>
      <c r="K176" s="5"/>
      <c r="L176" s="2"/>
    </row>
    <row r="177" spans="2:12" ht="12.75" x14ac:dyDescent="0.2">
      <c r="B177" s="5"/>
      <c r="E177" s="5"/>
      <c r="G177" s="5"/>
      <c r="I177" s="5"/>
      <c r="K177" s="5"/>
      <c r="L177" s="2"/>
    </row>
    <row r="178" spans="2:12" ht="12.75" x14ac:dyDescent="0.2">
      <c r="B178" s="5"/>
      <c r="E178" s="5"/>
      <c r="G178" s="5"/>
      <c r="I178" s="5"/>
      <c r="K178" s="5"/>
      <c r="L178" s="2"/>
    </row>
    <row r="179" spans="2:12" ht="12.75" x14ac:dyDescent="0.2">
      <c r="B179" s="5"/>
      <c r="E179" s="5"/>
      <c r="G179" s="5"/>
      <c r="I179" s="5"/>
      <c r="K179" s="5"/>
      <c r="L179" s="2"/>
    </row>
    <row r="180" spans="2:12" ht="12.75" x14ac:dyDescent="0.2">
      <c r="B180" s="5"/>
      <c r="E180" s="5"/>
      <c r="G180" s="5"/>
      <c r="I180" s="5"/>
      <c r="K180" s="5"/>
      <c r="L180" s="2"/>
    </row>
    <row r="181" spans="2:12" ht="12.75" x14ac:dyDescent="0.2">
      <c r="B181" s="5"/>
      <c r="E181" s="5"/>
      <c r="G181" s="5"/>
      <c r="I181" s="5"/>
      <c r="K181" s="5"/>
      <c r="L181" s="2"/>
    </row>
    <row r="182" spans="2:12" ht="12.75" x14ac:dyDescent="0.2">
      <c r="B182" s="5"/>
      <c r="E182" s="5"/>
      <c r="G182" s="5"/>
      <c r="I182" s="5"/>
      <c r="K182" s="5"/>
      <c r="L182" s="2"/>
    </row>
    <row r="183" spans="2:12" ht="12.75" x14ac:dyDescent="0.2">
      <c r="B183" s="5"/>
      <c r="E183" s="5"/>
      <c r="G183" s="5"/>
      <c r="I183" s="5"/>
      <c r="K183" s="5"/>
      <c r="L183" s="2"/>
    </row>
    <row r="184" spans="2:12" ht="12.75" x14ac:dyDescent="0.2">
      <c r="B184" s="5"/>
      <c r="E184" s="5"/>
      <c r="G184" s="5"/>
      <c r="I184" s="5"/>
      <c r="K184" s="5"/>
      <c r="L184" s="2"/>
    </row>
    <row r="185" spans="2:12" ht="12.75" x14ac:dyDescent="0.2">
      <c r="B185" s="5"/>
      <c r="E185" s="5"/>
      <c r="G185" s="5"/>
      <c r="I185" s="5"/>
      <c r="K185" s="5"/>
      <c r="L185" s="2"/>
    </row>
    <row r="186" spans="2:12" ht="12.75" x14ac:dyDescent="0.2">
      <c r="B186" s="5"/>
      <c r="E186" s="5"/>
      <c r="G186" s="5"/>
      <c r="I186" s="5"/>
      <c r="K186" s="5"/>
      <c r="L186" s="2"/>
    </row>
    <row r="187" spans="2:12" ht="12.75" x14ac:dyDescent="0.2">
      <c r="B187" s="5"/>
      <c r="E187" s="5"/>
      <c r="G187" s="5"/>
      <c r="I187" s="5"/>
      <c r="K187" s="5"/>
      <c r="L187" s="2"/>
    </row>
    <row r="188" spans="2:12" ht="12.75" x14ac:dyDescent="0.2">
      <c r="B188" s="5"/>
      <c r="E188" s="5"/>
      <c r="G188" s="5"/>
      <c r="I188" s="5"/>
      <c r="K188" s="5"/>
      <c r="L188" s="2"/>
    </row>
    <row r="189" spans="2:12" ht="12.75" x14ac:dyDescent="0.2">
      <c r="B189" s="5"/>
      <c r="E189" s="5"/>
      <c r="G189" s="5"/>
      <c r="I189" s="5"/>
      <c r="K189" s="5"/>
      <c r="L189" s="2"/>
    </row>
    <row r="190" spans="2:12" ht="12.75" x14ac:dyDescent="0.2">
      <c r="B190" s="5"/>
      <c r="E190" s="5"/>
      <c r="G190" s="5"/>
      <c r="I190" s="5"/>
      <c r="K190" s="5"/>
      <c r="L190" s="2"/>
    </row>
    <row r="191" spans="2:12" ht="12.75" x14ac:dyDescent="0.2">
      <c r="B191" s="5"/>
      <c r="E191" s="5"/>
      <c r="G191" s="5"/>
      <c r="I191" s="5"/>
      <c r="K191" s="5"/>
      <c r="L191" s="2"/>
    </row>
    <row r="192" spans="2:12" ht="12.75" x14ac:dyDescent="0.2">
      <c r="B192" s="5"/>
      <c r="E192" s="5"/>
      <c r="G192" s="5"/>
      <c r="I192" s="5"/>
      <c r="K192" s="5"/>
      <c r="L192" s="2"/>
    </row>
    <row r="193" spans="2:12" ht="12.75" x14ac:dyDescent="0.2">
      <c r="B193" s="5"/>
      <c r="E193" s="5"/>
      <c r="G193" s="5"/>
      <c r="I193" s="5"/>
      <c r="K193" s="5"/>
      <c r="L193" s="2"/>
    </row>
    <row r="194" spans="2:12" ht="12.75" x14ac:dyDescent="0.2">
      <c r="B194" s="5"/>
      <c r="E194" s="5"/>
      <c r="G194" s="5"/>
      <c r="I194" s="5"/>
      <c r="K194" s="5"/>
      <c r="L194" s="2"/>
    </row>
    <row r="195" spans="2:12" ht="12.75" x14ac:dyDescent="0.2">
      <c r="B195" s="5"/>
      <c r="E195" s="5"/>
      <c r="G195" s="5"/>
      <c r="I195" s="5"/>
      <c r="K195" s="5"/>
      <c r="L195" s="2"/>
    </row>
    <row r="196" spans="2:12" ht="12.75" x14ac:dyDescent="0.2">
      <c r="B196" s="5"/>
      <c r="E196" s="5"/>
      <c r="G196" s="5"/>
      <c r="I196" s="5"/>
      <c r="K196" s="5"/>
      <c r="L196" s="2"/>
    </row>
    <row r="197" spans="2:12" ht="12.75" x14ac:dyDescent="0.2">
      <c r="B197" s="5"/>
      <c r="E197" s="5"/>
      <c r="G197" s="5"/>
      <c r="I197" s="5"/>
      <c r="K197" s="5"/>
      <c r="L197" s="2"/>
    </row>
    <row r="198" spans="2:12" ht="12.75" x14ac:dyDescent="0.2">
      <c r="B198" s="5"/>
      <c r="E198" s="5"/>
      <c r="G198" s="5"/>
      <c r="I198" s="5"/>
      <c r="K198" s="5"/>
      <c r="L198" s="2"/>
    </row>
    <row r="199" spans="2:12" ht="12.75" x14ac:dyDescent="0.2">
      <c r="B199" s="5"/>
      <c r="E199" s="5"/>
      <c r="G199" s="5"/>
      <c r="I199" s="5"/>
      <c r="K199" s="5"/>
      <c r="L199" s="2"/>
    </row>
    <row r="200" spans="2:12" ht="12.75" x14ac:dyDescent="0.2">
      <c r="B200" s="5"/>
      <c r="E200" s="5"/>
      <c r="G200" s="5"/>
      <c r="I200" s="5"/>
      <c r="K200" s="5"/>
      <c r="L200" s="2"/>
    </row>
    <row r="201" spans="2:12" ht="12.75" x14ac:dyDescent="0.2">
      <c r="B201" s="5"/>
      <c r="E201" s="5"/>
      <c r="G201" s="5"/>
      <c r="I201" s="5"/>
      <c r="K201" s="5"/>
      <c r="L201" s="2"/>
    </row>
    <row r="202" spans="2:12" ht="12.75" x14ac:dyDescent="0.2">
      <c r="B202" s="5"/>
      <c r="E202" s="5"/>
      <c r="G202" s="5"/>
      <c r="I202" s="5"/>
      <c r="K202" s="5"/>
      <c r="L202" s="2"/>
    </row>
    <row r="203" spans="2:12" ht="12.75" x14ac:dyDescent="0.2">
      <c r="B203" s="5"/>
      <c r="E203" s="5"/>
      <c r="G203" s="5"/>
      <c r="I203" s="5"/>
      <c r="K203" s="5"/>
      <c r="L203" s="2"/>
    </row>
    <row r="204" spans="2:12" ht="12.75" x14ac:dyDescent="0.2">
      <c r="B204" s="5"/>
      <c r="E204" s="5"/>
      <c r="G204" s="5"/>
      <c r="I204" s="5"/>
      <c r="K204" s="5"/>
      <c r="L204" s="2"/>
    </row>
    <row r="205" spans="2:12" ht="12.75" x14ac:dyDescent="0.2">
      <c r="B205" s="5"/>
      <c r="E205" s="5"/>
      <c r="G205" s="5"/>
      <c r="I205" s="5"/>
      <c r="K205" s="5"/>
      <c r="L205" s="2"/>
    </row>
    <row r="206" spans="2:12" ht="12.75" x14ac:dyDescent="0.2">
      <c r="B206" s="5"/>
      <c r="E206" s="5"/>
      <c r="G206" s="5"/>
      <c r="I206" s="5"/>
      <c r="K206" s="5"/>
      <c r="L206" s="2"/>
    </row>
    <row r="207" spans="2:12" ht="12.75" x14ac:dyDescent="0.2">
      <c r="B207" s="5"/>
      <c r="E207" s="5"/>
      <c r="G207" s="5"/>
      <c r="I207" s="5"/>
      <c r="K207" s="5"/>
      <c r="L207" s="2"/>
    </row>
    <row r="208" spans="2:12" ht="12.75" x14ac:dyDescent="0.2">
      <c r="B208" s="5"/>
      <c r="E208" s="5"/>
      <c r="G208" s="5"/>
      <c r="I208" s="5"/>
      <c r="K208" s="5"/>
      <c r="L208" s="2"/>
    </row>
    <row r="209" spans="2:12" ht="12.75" x14ac:dyDescent="0.2">
      <c r="B209" s="5"/>
      <c r="E209" s="5"/>
      <c r="G209" s="5"/>
      <c r="I209" s="5"/>
      <c r="K209" s="5"/>
      <c r="L209" s="2"/>
    </row>
    <row r="210" spans="2:12" ht="12.75" x14ac:dyDescent="0.2">
      <c r="B210" s="5"/>
      <c r="E210" s="5"/>
      <c r="G210" s="5"/>
      <c r="I210" s="5"/>
      <c r="K210" s="5"/>
      <c r="L210" s="2"/>
    </row>
    <row r="211" spans="2:12" ht="12.75" x14ac:dyDescent="0.2">
      <c r="B211" s="5"/>
      <c r="E211" s="5"/>
      <c r="G211" s="5"/>
      <c r="I211" s="5"/>
      <c r="K211" s="5"/>
      <c r="L211" s="2"/>
    </row>
    <row r="212" spans="2:12" ht="12.75" x14ac:dyDescent="0.2">
      <c r="B212" s="5"/>
      <c r="E212" s="5"/>
      <c r="G212" s="5"/>
      <c r="I212" s="5"/>
      <c r="K212" s="5"/>
      <c r="L212" s="2"/>
    </row>
    <row r="213" spans="2:12" ht="12.75" x14ac:dyDescent="0.2">
      <c r="B213" s="5"/>
      <c r="E213" s="5"/>
      <c r="G213" s="5"/>
      <c r="I213" s="5"/>
      <c r="K213" s="5"/>
      <c r="L213" s="2"/>
    </row>
    <row r="214" spans="2:12" ht="12.75" x14ac:dyDescent="0.2">
      <c r="B214" s="5"/>
      <c r="E214" s="5"/>
      <c r="G214" s="5"/>
      <c r="I214" s="5"/>
      <c r="K214" s="5"/>
      <c r="L214" s="2"/>
    </row>
    <row r="215" spans="2:12" ht="12.75" x14ac:dyDescent="0.2">
      <c r="B215" s="5"/>
      <c r="E215" s="5"/>
      <c r="G215" s="5"/>
      <c r="I215" s="5"/>
      <c r="K215" s="5"/>
      <c r="L215" s="2"/>
    </row>
    <row r="216" spans="2:12" ht="12.75" x14ac:dyDescent="0.2">
      <c r="B216" s="5"/>
      <c r="E216" s="5"/>
      <c r="G216" s="5"/>
      <c r="I216" s="5"/>
      <c r="K216" s="5"/>
      <c r="L216" s="2"/>
    </row>
    <row r="217" spans="2:12" ht="12.75" x14ac:dyDescent="0.2">
      <c r="B217" s="5"/>
      <c r="E217" s="5"/>
      <c r="G217" s="5"/>
      <c r="I217" s="5"/>
      <c r="K217" s="5"/>
      <c r="L217" s="2"/>
    </row>
    <row r="218" spans="2:12" ht="12.75" x14ac:dyDescent="0.2">
      <c r="B218" s="5"/>
      <c r="E218" s="5"/>
      <c r="G218" s="5"/>
      <c r="I218" s="5"/>
      <c r="K218" s="5"/>
      <c r="L218" s="2"/>
    </row>
    <row r="219" spans="2:12" ht="12.75" x14ac:dyDescent="0.2">
      <c r="B219" s="5"/>
      <c r="E219" s="5"/>
      <c r="G219" s="5"/>
      <c r="I219" s="5"/>
      <c r="K219" s="5"/>
      <c r="L219" s="2"/>
    </row>
    <row r="220" spans="2:12" ht="12.75" x14ac:dyDescent="0.2">
      <c r="B220" s="5"/>
      <c r="E220" s="5"/>
      <c r="G220" s="5"/>
      <c r="I220" s="5"/>
      <c r="K220" s="5"/>
      <c r="L220" s="2"/>
    </row>
    <row r="221" spans="2:12" ht="12.75" x14ac:dyDescent="0.2">
      <c r="B221" s="5"/>
      <c r="E221" s="5"/>
      <c r="G221" s="5"/>
      <c r="I221" s="5"/>
      <c r="K221" s="5"/>
      <c r="L221" s="2"/>
    </row>
    <row r="222" spans="2:12" ht="12.75" x14ac:dyDescent="0.2">
      <c r="B222" s="5"/>
      <c r="E222" s="5"/>
      <c r="G222" s="5"/>
      <c r="I222" s="5"/>
      <c r="K222" s="5"/>
      <c r="L222" s="2"/>
    </row>
    <row r="223" spans="2:12" ht="12.75" x14ac:dyDescent="0.2">
      <c r="B223" s="5"/>
      <c r="E223" s="5"/>
      <c r="G223" s="5"/>
      <c r="I223" s="5"/>
      <c r="K223" s="5"/>
      <c r="L223" s="2"/>
    </row>
    <row r="224" spans="2:12" ht="12.75" x14ac:dyDescent="0.2">
      <c r="B224" s="5"/>
      <c r="E224" s="5"/>
      <c r="G224" s="5"/>
      <c r="I224" s="5"/>
      <c r="K224" s="5"/>
      <c r="L224" s="2"/>
    </row>
    <row r="225" spans="2:12" ht="12.75" x14ac:dyDescent="0.2">
      <c r="B225" s="5"/>
      <c r="E225" s="5"/>
      <c r="G225" s="5"/>
      <c r="I225" s="5"/>
      <c r="K225" s="5"/>
      <c r="L225" s="2"/>
    </row>
    <row r="226" spans="2:12" ht="12.75" x14ac:dyDescent="0.2">
      <c r="B226" s="5"/>
      <c r="E226" s="5"/>
      <c r="G226" s="5"/>
      <c r="I226" s="5"/>
      <c r="K226" s="5"/>
      <c r="L226" s="2"/>
    </row>
    <row r="227" spans="2:12" ht="12.75" x14ac:dyDescent="0.2">
      <c r="B227" s="5"/>
      <c r="E227" s="5"/>
      <c r="G227" s="5"/>
      <c r="I227" s="5"/>
      <c r="K227" s="5"/>
      <c r="L227" s="2"/>
    </row>
    <row r="228" spans="2:12" ht="12.75" x14ac:dyDescent="0.2">
      <c r="B228" s="5"/>
      <c r="E228" s="5"/>
      <c r="G228" s="5"/>
      <c r="I228" s="5"/>
      <c r="K228" s="5"/>
      <c r="L228" s="2"/>
    </row>
    <row r="229" spans="2:12" ht="12.75" x14ac:dyDescent="0.2">
      <c r="B229" s="5"/>
      <c r="E229" s="5"/>
      <c r="G229" s="5"/>
      <c r="I229" s="5"/>
      <c r="K229" s="5"/>
      <c r="L229" s="2"/>
    </row>
    <row r="230" spans="2:12" ht="12.75" x14ac:dyDescent="0.2">
      <c r="B230" s="5"/>
      <c r="E230" s="5"/>
      <c r="G230" s="5"/>
      <c r="I230" s="5"/>
      <c r="K230" s="5"/>
      <c r="L230" s="2"/>
    </row>
    <row r="231" spans="2:12" ht="12.75" x14ac:dyDescent="0.2">
      <c r="B231" s="5"/>
      <c r="E231" s="5"/>
      <c r="G231" s="5"/>
      <c r="I231" s="5"/>
      <c r="K231" s="5"/>
      <c r="L231" s="2"/>
    </row>
    <row r="232" spans="2:12" ht="12.75" x14ac:dyDescent="0.2">
      <c r="B232" s="5"/>
      <c r="E232" s="5"/>
      <c r="G232" s="5"/>
      <c r="I232" s="5"/>
      <c r="K232" s="5"/>
      <c r="L232" s="2"/>
    </row>
    <row r="233" spans="2:12" ht="12.75" x14ac:dyDescent="0.2">
      <c r="B233" s="5"/>
      <c r="E233" s="5"/>
      <c r="G233" s="5"/>
      <c r="I233" s="5"/>
      <c r="K233" s="5"/>
      <c r="L233" s="2"/>
    </row>
    <row r="234" spans="2:12" ht="12.75" x14ac:dyDescent="0.2">
      <c r="B234" s="5"/>
      <c r="E234" s="5"/>
      <c r="G234" s="5"/>
      <c r="I234" s="5"/>
      <c r="K234" s="5"/>
      <c r="L234" s="2"/>
    </row>
    <row r="235" spans="2:12" ht="12.75" x14ac:dyDescent="0.2">
      <c r="B235" s="5"/>
      <c r="E235" s="5"/>
      <c r="G235" s="5"/>
      <c r="I235" s="5"/>
      <c r="K235" s="5"/>
      <c r="L235" s="2"/>
    </row>
    <row r="236" spans="2:12" ht="12.75" x14ac:dyDescent="0.2">
      <c r="B236" s="5"/>
      <c r="E236" s="5"/>
      <c r="G236" s="5"/>
      <c r="I236" s="5"/>
      <c r="K236" s="5"/>
      <c r="L236" s="2"/>
    </row>
    <row r="237" spans="2:12" ht="12.75" x14ac:dyDescent="0.2">
      <c r="B237" s="5"/>
      <c r="E237" s="5"/>
      <c r="G237" s="5"/>
      <c r="I237" s="5"/>
      <c r="K237" s="5"/>
      <c r="L237" s="2"/>
    </row>
    <row r="238" spans="2:12" ht="12.75" x14ac:dyDescent="0.2">
      <c r="B238" s="5"/>
      <c r="E238" s="5"/>
      <c r="G238" s="5"/>
      <c r="I238" s="5"/>
      <c r="K238" s="5"/>
      <c r="L238" s="2"/>
    </row>
    <row r="239" spans="2:12" ht="12.75" x14ac:dyDescent="0.2">
      <c r="B239" s="5"/>
      <c r="E239" s="5"/>
      <c r="G239" s="5"/>
      <c r="I239" s="5"/>
      <c r="K239" s="5"/>
      <c r="L239" s="2"/>
    </row>
    <row r="240" spans="2:12" ht="12.75" x14ac:dyDescent="0.2">
      <c r="B240" s="5"/>
      <c r="E240" s="5"/>
      <c r="G240" s="5"/>
      <c r="I240" s="5"/>
      <c r="K240" s="5"/>
      <c r="L240" s="2"/>
    </row>
    <row r="241" spans="2:12" ht="12.75" x14ac:dyDescent="0.2">
      <c r="B241" s="5"/>
      <c r="E241" s="5"/>
      <c r="G241" s="5"/>
      <c r="I241" s="5"/>
      <c r="K241" s="5"/>
      <c r="L241" s="2"/>
    </row>
    <row r="242" spans="2:12" ht="12.75" x14ac:dyDescent="0.2">
      <c r="B242" s="5"/>
      <c r="E242" s="5"/>
      <c r="G242" s="5"/>
      <c r="I242" s="5"/>
      <c r="K242" s="5"/>
      <c r="L242" s="2"/>
    </row>
    <row r="243" spans="2:12" ht="12.75" x14ac:dyDescent="0.2">
      <c r="B243" s="5"/>
      <c r="E243" s="5"/>
      <c r="G243" s="5"/>
      <c r="I243" s="5"/>
      <c r="K243" s="5"/>
      <c r="L243" s="2"/>
    </row>
    <row r="244" spans="2:12" ht="12.75" x14ac:dyDescent="0.2">
      <c r="B244" s="5"/>
      <c r="E244" s="5"/>
      <c r="G244" s="5"/>
      <c r="I244" s="5"/>
      <c r="K244" s="5"/>
      <c r="L244" s="2"/>
    </row>
    <row r="245" spans="2:12" ht="12.75" x14ac:dyDescent="0.2">
      <c r="B245" s="5"/>
      <c r="E245" s="5"/>
      <c r="G245" s="5"/>
      <c r="I245" s="5"/>
      <c r="K245" s="5"/>
      <c r="L245" s="2"/>
    </row>
    <row r="246" spans="2:12" ht="12.75" x14ac:dyDescent="0.2">
      <c r="B246" s="5"/>
      <c r="E246" s="5"/>
      <c r="G246" s="5"/>
      <c r="I246" s="5"/>
      <c r="K246" s="5"/>
      <c r="L246" s="2"/>
    </row>
    <row r="247" spans="2:12" ht="12.75" x14ac:dyDescent="0.2">
      <c r="B247" s="5"/>
      <c r="E247" s="5"/>
      <c r="G247" s="5"/>
      <c r="I247" s="5"/>
      <c r="K247" s="5"/>
      <c r="L247" s="2"/>
    </row>
    <row r="248" spans="2:12" ht="12.75" x14ac:dyDescent="0.2">
      <c r="B248" s="5"/>
      <c r="E248" s="5"/>
      <c r="G248" s="5"/>
      <c r="I248" s="5"/>
      <c r="K248" s="5"/>
      <c r="L248" s="2"/>
    </row>
    <row r="249" spans="2:12" ht="12.75" x14ac:dyDescent="0.2">
      <c r="B249" s="5"/>
      <c r="E249" s="5"/>
      <c r="G249" s="5"/>
      <c r="I249" s="5"/>
      <c r="K249" s="5"/>
      <c r="L249" s="2"/>
    </row>
    <row r="250" spans="2:12" ht="12.75" x14ac:dyDescent="0.2">
      <c r="B250" s="5"/>
      <c r="E250" s="5"/>
      <c r="G250" s="5"/>
      <c r="I250" s="5"/>
      <c r="K250" s="5"/>
      <c r="L250" s="2"/>
    </row>
    <row r="251" spans="2:12" ht="12.75" x14ac:dyDescent="0.2">
      <c r="B251" s="5"/>
      <c r="E251" s="5"/>
      <c r="G251" s="5"/>
      <c r="I251" s="5"/>
      <c r="K251" s="5"/>
      <c r="L251" s="2"/>
    </row>
    <row r="252" spans="2:12" ht="12.75" x14ac:dyDescent="0.2">
      <c r="B252" s="5"/>
      <c r="E252" s="5"/>
      <c r="G252" s="5"/>
      <c r="I252" s="5"/>
      <c r="K252" s="5"/>
      <c r="L252" s="2"/>
    </row>
    <row r="253" spans="2:12" ht="12.75" x14ac:dyDescent="0.2">
      <c r="B253" s="5"/>
      <c r="E253" s="5"/>
      <c r="G253" s="5"/>
      <c r="I253" s="5"/>
      <c r="K253" s="5"/>
      <c r="L253" s="2"/>
    </row>
    <row r="254" spans="2:12" ht="12.75" x14ac:dyDescent="0.2">
      <c r="B254" s="5"/>
      <c r="E254" s="5"/>
      <c r="G254" s="5"/>
      <c r="I254" s="5"/>
      <c r="K254" s="5"/>
      <c r="L254" s="2"/>
    </row>
    <row r="255" spans="2:12" ht="12.75" x14ac:dyDescent="0.2">
      <c r="B255" s="5"/>
      <c r="E255" s="5"/>
      <c r="G255" s="5"/>
      <c r="I255" s="5"/>
      <c r="K255" s="5"/>
      <c r="L255" s="2"/>
    </row>
    <row r="256" spans="2:12" ht="12.75" x14ac:dyDescent="0.2">
      <c r="B256" s="5"/>
      <c r="E256" s="5"/>
      <c r="G256" s="5"/>
      <c r="I256" s="5"/>
      <c r="K256" s="5"/>
      <c r="L256" s="2"/>
    </row>
    <row r="257" spans="2:12" ht="12.75" x14ac:dyDescent="0.2">
      <c r="B257" s="5"/>
      <c r="E257" s="5"/>
      <c r="G257" s="5"/>
      <c r="I257" s="5"/>
      <c r="K257" s="5"/>
      <c r="L257" s="2"/>
    </row>
    <row r="258" spans="2:12" ht="12.75" x14ac:dyDescent="0.2">
      <c r="B258" s="5"/>
      <c r="E258" s="5"/>
      <c r="G258" s="5"/>
      <c r="I258" s="5"/>
      <c r="K258" s="5"/>
      <c r="L258" s="2"/>
    </row>
    <row r="259" spans="2:12" ht="12.75" x14ac:dyDescent="0.2">
      <c r="B259" s="5"/>
      <c r="E259" s="5"/>
      <c r="G259" s="5"/>
      <c r="I259" s="5"/>
      <c r="K259" s="5"/>
      <c r="L259" s="2"/>
    </row>
    <row r="260" spans="2:12" ht="12.75" x14ac:dyDescent="0.2">
      <c r="B260" s="5"/>
      <c r="E260" s="5"/>
      <c r="G260" s="5"/>
      <c r="I260" s="5"/>
      <c r="K260" s="5"/>
      <c r="L260" s="2"/>
    </row>
    <row r="261" spans="2:12" ht="12.75" x14ac:dyDescent="0.2">
      <c r="B261" s="5"/>
      <c r="E261" s="5"/>
      <c r="G261" s="5"/>
      <c r="I261" s="5"/>
      <c r="K261" s="5"/>
      <c r="L261" s="2"/>
    </row>
    <row r="262" spans="2:12" ht="12.75" x14ac:dyDescent="0.2">
      <c r="B262" s="5"/>
      <c r="E262" s="5"/>
      <c r="G262" s="5"/>
      <c r="I262" s="5"/>
      <c r="K262" s="5"/>
      <c r="L262" s="2"/>
    </row>
    <row r="263" spans="2:12" ht="12.75" x14ac:dyDescent="0.2">
      <c r="B263" s="5"/>
      <c r="E263" s="5"/>
      <c r="G263" s="5"/>
      <c r="I263" s="5"/>
      <c r="K263" s="5"/>
      <c r="L263" s="2"/>
    </row>
    <row r="264" spans="2:12" ht="12.75" x14ac:dyDescent="0.2">
      <c r="B264" s="5"/>
      <c r="E264" s="5"/>
      <c r="G264" s="5"/>
      <c r="I264" s="5"/>
      <c r="K264" s="5"/>
      <c r="L264" s="2"/>
    </row>
    <row r="265" spans="2:12" ht="12.75" x14ac:dyDescent="0.2">
      <c r="B265" s="5"/>
      <c r="E265" s="5"/>
      <c r="G265" s="5"/>
      <c r="I265" s="5"/>
      <c r="K265" s="5"/>
      <c r="L265" s="2"/>
    </row>
    <row r="266" spans="2:12" ht="12.75" x14ac:dyDescent="0.2">
      <c r="B266" s="5"/>
      <c r="E266" s="5"/>
      <c r="G266" s="5"/>
      <c r="I266" s="5"/>
      <c r="K266" s="5"/>
      <c r="L266" s="2"/>
    </row>
    <row r="267" spans="2:12" ht="12.75" x14ac:dyDescent="0.2">
      <c r="B267" s="5"/>
      <c r="E267" s="5"/>
      <c r="G267" s="5"/>
      <c r="I267" s="5"/>
      <c r="K267" s="5"/>
      <c r="L267" s="2"/>
    </row>
    <row r="268" spans="2:12" ht="12.75" x14ac:dyDescent="0.2">
      <c r="B268" s="5"/>
      <c r="E268" s="5"/>
      <c r="G268" s="5"/>
      <c r="I268" s="5"/>
      <c r="K268" s="5"/>
      <c r="L268" s="2"/>
    </row>
    <row r="269" spans="2:12" ht="12.75" x14ac:dyDescent="0.2">
      <c r="B269" s="5"/>
      <c r="E269" s="5"/>
      <c r="G269" s="5"/>
      <c r="I269" s="5"/>
      <c r="K269" s="5"/>
      <c r="L269" s="2"/>
    </row>
    <row r="270" spans="2:12" ht="12.75" x14ac:dyDescent="0.2">
      <c r="B270" s="5"/>
      <c r="E270" s="5"/>
      <c r="G270" s="5"/>
      <c r="I270" s="5"/>
      <c r="K270" s="5"/>
      <c r="L270" s="2"/>
    </row>
    <row r="271" spans="2:12" ht="12.75" x14ac:dyDescent="0.2">
      <c r="B271" s="5"/>
      <c r="E271" s="5"/>
      <c r="G271" s="5"/>
      <c r="I271" s="5"/>
      <c r="K271" s="5"/>
      <c r="L271" s="2"/>
    </row>
    <row r="272" spans="2:12" ht="12.75" x14ac:dyDescent="0.2">
      <c r="B272" s="5"/>
      <c r="E272" s="5"/>
      <c r="G272" s="5"/>
      <c r="I272" s="5"/>
      <c r="K272" s="5"/>
      <c r="L272" s="2"/>
    </row>
    <row r="273" spans="2:12" ht="12.75" x14ac:dyDescent="0.2">
      <c r="B273" s="5"/>
      <c r="E273" s="5"/>
      <c r="G273" s="5"/>
      <c r="I273" s="5"/>
      <c r="K273" s="5"/>
      <c r="L273" s="2"/>
    </row>
    <row r="274" spans="2:12" ht="12.75" x14ac:dyDescent="0.2">
      <c r="B274" s="5"/>
      <c r="E274" s="5"/>
      <c r="G274" s="5"/>
      <c r="I274" s="5"/>
      <c r="K274" s="5"/>
      <c r="L274" s="2"/>
    </row>
    <row r="275" spans="2:12" ht="12.75" x14ac:dyDescent="0.2">
      <c r="B275" s="5"/>
      <c r="E275" s="5"/>
      <c r="G275" s="5"/>
      <c r="I275" s="5"/>
      <c r="K275" s="5"/>
      <c r="L275" s="2"/>
    </row>
    <row r="276" spans="2:12" ht="12.75" x14ac:dyDescent="0.2">
      <c r="B276" s="5"/>
      <c r="E276" s="5"/>
      <c r="G276" s="5"/>
      <c r="I276" s="5"/>
      <c r="K276" s="5"/>
      <c r="L276" s="2"/>
    </row>
    <row r="277" spans="2:12" ht="12.75" x14ac:dyDescent="0.2">
      <c r="B277" s="5"/>
      <c r="E277" s="5"/>
      <c r="G277" s="5"/>
      <c r="I277" s="5"/>
      <c r="K277" s="5"/>
      <c r="L277" s="2"/>
    </row>
    <row r="278" spans="2:12" ht="12.75" x14ac:dyDescent="0.2">
      <c r="B278" s="5"/>
      <c r="E278" s="5"/>
      <c r="G278" s="5"/>
      <c r="I278" s="5"/>
      <c r="K278" s="5"/>
      <c r="L278" s="2"/>
    </row>
    <row r="279" spans="2:12" ht="12.75" x14ac:dyDescent="0.2">
      <c r="B279" s="5"/>
      <c r="E279" s="5"/>
      <c r="G279" s="5"/>
      <c r="I279" s="5"/>
      <c r="K279" s="5"/>
      <c r="L279" s="2"/>
    </row>
    <row r="280" spans="2:12" ht="12.75" x14ac:dyDescent="0.2">
      <c r="B280" s="5"/>
      <c r="E280" s="5"/>
      <c r="G280" s="5"/>
      <c r="I280" s="5"/>
      <c r="K280" s="5"/>
      <c r="L280" s="2"/>
    </row>
    <row r="281" spans="2:12" ht="12.75" x14ac:dyDescent="0.2">
      <c r="B281" s="5"/>
      <c r="E281" s="5"/>
      <c r="G281" s="5"/>
      <c r="I281" s="5"/>
      <c r="K281" s="5"/>
      <c r="L281" s="2"/>
    </row>
    <row r="282" spans="2:12" ht="12.75" x14ac:dyDescent="0.2">
      <c r="B282" s="5"/>
      <c r="E282" s="5"/>
      <c r="G282" s="5"/>
      <c r="I282" s="5"/>
      <c r="K282" s="5"/>
      <c r="L282" s="2"/>
    </row>
    <row r="283" spans="2:12" ht="12.75" x14ac:dyDescent="0.2">
      <c r="B283" s="5"/>
      <c r="E283" s="5"/>
      <c r="G283" s="5"/>
      <c r="I283" s="5"/>
      <c r="K283" s="5"/>
      <c r="L283" s="2"/>
    </row>
    <row r="284" spans="2:12" ht="12.75" x14ac:dyDescent="0.2">
      <c r="B284" s="5"/>
      <c r="E284" s="5"/>
      <c r="G284" s="5"/>
      <c r="I284" s="5"/>
      <c r="K284" s="5"/>
      <c r="L284" s="2"/>
    </row>
    <row r="285" spans="2:12" ht="12.75" x14ac:dyDescent="0.2">
      <c r="B285" s="5"/>
      <c r="E285" s="5"/>
      <c r="G285" s="5"/>
      <c r="I285" s="5"/>
      <c r="K285" s="5"/>
      <c r="L285" s="2"/>
    </row>
    <row r="286" spans="2:12" ht="12.75" x14ac:dyDescent="0.2">
      <c r="B286" s="5"/>
      <c r="E286" s="5"/>
      <c r="G286" s="5"/>
      <c r="I286" s="5"/>
      <c r="K286" s="5"/>
      <c r="L286" s="2"/>
    </row>
    <row r="287" spans="2:12" ht="12.75" x14ac:dyDescent="0.2">
      <c r="B287" s="5"/>
      <c r="E287" s="5"/>
      <c r="G287" s="5"/>
      <c r="I287" s="5"/>
      <c r="K287" s="5"/>
      <c r="L287" s="2"/>
    </row>
    <row r="288" spans="2:12" ht="12.75" x14ac:dyDescent="0.2">
      <c r="B288" s="5"/>
      <c r="E288" s="5"/>
      <c r="G288" s="5"/>
      <c r="I288" s="5"/>
      <c r="K288" s="5"/>
      <c r="L288" s="2"/>
    </row>
    <row r="289" spans="2:12" ht="12.75" x14ac:dyDescent="0.2">
      <c r="B289" s="5"/>
      <c r="E289" s="5"/>
      <c r="G289" s="5"/>
      <c r="I289" s="5"/>
      <c r="K289" s="5"/>
      <c r="L289" s="2"/>
    </row>
    <row r="290" spans="2:12" ht="12.75" x14ac:dyDescent="0.2">
      <c r="B290" s="5"/>
      <c r="E290" s="5"/>
      <c r="G290" s="5"/>
      <c r="I290" s="5"/>
      <c r="K290" s="5"/>
      <c r="L290" s="2"/>
    </row>
    <row r="291" spans="2:12" ht="12.75" x14ac:dyDescent="0.2">
      <c r="B291" s="5"/>
      <c r="E291" s="5"/>
      <c r="G291" s="5"/>
      <c r="I291" s="5"/>
      <c r="K291" s="5"/>
      <c r="L291" s="2"/>
    </row>
    <row r="292" spans="2:12" ht="12.75" x14ac:dyDescent="0.2">
      <c r="B292" s="5"/>
      <c r="E292" s="5"/>
      <c r="G292" s="5"/>
      <c r="I292" s="5"/>
      <c r="K292" s="5"/>
      <c r="L292" s="2"/>
    </row>
    <row r="293" spans="2:12" ht="12.75" x14ac:dyDescent="0.2">
      <c r="B293" s="5"/>
      <c r="E293" s="5"/>
      <c r="G293" s="5"/>
      <c r="I293" s="5"/>
      <c r="K293" s="5"/>
      <c r="L293" s="2"/>
    </row>
    <row r="294" spans="2:12" ht="12.75" x14ac:dyDescent="0.2">
      <c r="B294" s="5"/>
      <c r="E294" s="5"/>
      <c r="G294" s="5"/>
      <c r="I294" s="5"/>
      <c r="K294" s="5"/>
      <c r="L294" s="2"/>
    </row>
    <row r="295" spans="2:12" ht="12.75" x14ac:dyDescent="0.2">
      <c r="B295" s="5"/>
      <c r="E295" s="5"/>
      <c r="G295" s="5"/>
      <c r="I295" s="5"/>
      <c r="K295" s="5"/>
      <c r="L295" s="2"/>
    </row>
    <row r="296" spans="2:12" ht="12.75" x14ac:dyDescent="0.2">
      <c r="B296" s="5"/>
      <c r="E296" s="5"/>
      <c r="G296" s="5"/>
      <c r="I296" s="5"/>
      <c r="K296" s="5"/>
      <c r="L296" s="2"/>
    </row>
    <row r="297" spans="2:12" ht="12.75" x14ac:dyDescent="0.2">
      <c r="B297" s="5"/>
      <c r="E297" s="5"/>
      <c r="G297" s="5"/>
      <c r="I297" s="5"/>
      <c r="K297" s="5"/>
      <c r="L297" s="2"/>
    </row>
    <row r="298" spans="2:12" ht="12.75" x14ac:dyDescent="0.2">
      <c r="B298" s="5"/>
      <c r="E298" s="5"/>
      <c r="G298" s="5"/>
      <c r="I298" s="5"/>
      <c r="K298" s="5"/>
      <c r="L298" s="2"/>
    </row>
    <row r="299" spans="2:12" ht="12.75" x14ac:dyDescent="0.2">
      <c r="B299" s="5"/>
      <c r="E299" s="5"/>
      <c r="G299" s="5"/>
      <c r="I299" s="5"/>
      <c r="K299" s="5"/>
      <c r="L299" s="2"/>
    </row>
    <row r="300" spans="2:12" ht="12.75" x14ac:dyDescent="0.2">
      <c r="B300" s="5"/>
      <c r="E300" s="5"/>
      <c r="G300" s="5"/>
      <c r="I300" s="5"/>
      <c r="K300" s="5"/>
      <c r="L300" s="2"/>
    </row>
    <row r="301" spans="2:12" ht="12.75" x14ac:dyDescent="0.2">
      <c r="B301" s="5"/>
      <c r="E301" s="5"/>
      <c r="G301" s="5"/>
      <c r="I301" s="5"/>
      <c r="K301" s="5"/>
      <c r="L301" s="2"/>
    </row>
    <row r="302" spans="2:12" ht="12.75" x14ac:dyDescent="0.2">
      <c r="B302" s="5"/>
      <c r="E302" s="5"/>
      <c r="G302" s="5"/>
      <c r="I302" s="5"/>
      <c r="K302" s="5"/>
      <c r="L302" s="2"/>
    </row>
    <row r="303" spans="2:12" ht="12.75" x14ac:dyDescent="0.2">
      <c r="B303" s="5"/>
      <c r="E303" s="5"/>
      <c r="G303" s="5"/>
      <c r="I303" s="5"/>
      <c r="K303" s="5"/>
      <c r="L303" s="2"/>
    </row>
    <row r="304" spans="2:12" ht="12.75" x14ac:dyDescent="0.2">
      <c r="B304" s="5"/>
      <c r="E304" s="5"/>
      <c r="G304" s="5"/>
      <c r="I304" s="5"/>
      <c r="K304" s="5"/>
      <c r="L304" s="2"/>
    </row>
    <row r="305" spans="2:12" ht="12.75" x14ac:dyDescent="0.2">
      <c r="B305" s="5"/>
      <c r="E305" s="5"/>
      <c r="G305" s="5"/>
      <c r="I305" s="5"/>
      <c r="K305" s="5"/>
      <c r="L305" s="2"/>
    </row>
    <row r="306" spans="2:12" ht="12.75" x14ac:dyDescent="0.2">
      <c r="B306" s="5"/>
      <c r="E306" s="5"/>
      <c r="G306" s="5"/>
      <c r="I306" s="5"/>
      <c r="K306" s="5"/>
      <c r="L306" s="2"/>
    </row>
    <row r="307" spans="2:12" ht="12.75" x14ac:dyDescent="0.2">
      <c r="B307" s="5"/>
      <c r="E307" s="5"/>
      <c r="G307" s="5"/>
      <c r="I307" s="5"/>
      <c r="K307" s="5"/>
      <c r="L307" s="2"/>
    </row>
    <row r="308" spans="2:12" ht="12.75" x14ac:dyDescent="0.2">
      <c r="B308" s="5"/>
      <c r="E308" s="5"/>
      <c r="G308" s="5"/>
      <c r="I308" s="5"/>
      <c r="K308" s="5"/>
      <c r="L308" s="2"/>
    </row>
    <row r="309" spans="2:12" ht="12.75" x14ac:dyDescent="0.2">
      <c r="B309" s="5"/>
      <c r="E309" s="5"/>
      <c r="G309" s="5"/>
      <c r="I309" s="5"/>
      <c r="K309" s="5"/>
      <c r="L309" s="2"/>
    </row>
    <row r="310" spans="2:12" ht="12.75" x14ac:dyDescent="0.2">
      <c r="B310" s="5"/>
      <c r="E310" s="5"/>
      <c r="G310" s="5"/>
      <c r="I310" s="5"/>
      <c r="K310" s="5"/>
      <c r="L310" s="2"/>
    </row>
    <row r="311" spans="2:12" ht="12.75" x14ac:dyDescent="0.2">
      <c r="B311" s="5"/>
      <c r="E311" s="5"/>
      <c r="G311" s="5"/>
      <c r="I311" s="5"/>
      <c r="K311" s="5"/>
      <c r="L311" s="2"/>
    </row>
    <row r="312" spans="2:12" ht="12.75" x14ac:dyDescent="0.2">
      <c r="B312" s="5"/>
      <c r="E312" s="5"/>
      <c r="G312" s="5"/>
      <c r="I312" s="5"/>
      <c r="K312" s="5"/>
      <c r="L312" s="2"/>
    </row>
    <row r="313" spans="2:12" ht="12.75" x14ac:dyDescent="0.2">
      <c r="B313" s="5"/>
      <c r="E313" s="5"/>
      <c r="G313" s="5"/>
      <c r="I313" s="5"/>
      <c r="K313" s="5"/>
      <c r="L313" s="2"/>
    </row>
    <row r="314" spans="2:12" ht="12.75" x14ac:dyDescent="0.2">
      <c r="B314" s="5"/>
      <c r="E314" s="5"/>
      <c r="G314" s="5"/>
      <c r="I314" s="5"/>
      <c r="K314" s="5"/>
      <c r="L314" s="2"/>
    </row>
    <row r="315" spans="2:12" ht="12.75" x14ac:dyDescent="0.2">
      <c r="B315" s="5"/>
      <c r="E315" s="5"/>
      <c r="G315" s="5"/>
      <c r="I315" s="5"/>
      <c r="K315" s="5"/>
      <c r="L315" s="2"/>
    </row>
    <row r="316" spans="2:12" ht="12.75" x14ac:dyDescent="0.2">
      <c r="B316" s="5"/>
      <c r="E316" s="5"/>
      <c r="G316" s="5"/>
      <c r="I316" s="5"/>
      <c r="K316" s="5"/>
      <c r="L316" s="2"/>
    </row>
    <row r="317" spans="2:12" ht="12.75" x14ac:dyDescent="0.2">
      <c r="B317" s="5"/>
      <c r="E317" s="5"/>
      <c r="G317" s="5"/>
      <c r="I317" s="5"/>
      <c r="K317" s="5"/>
      <c r="L317" s="2"/>
    </row>
    <row r="318" spans="2:12" ht="12.75" x14ac:dyDescent="0.2">
      <c r="B318" s="5"/>
      <c r="E318" s="5"/>
      <c r="G318" s="5"/>
      <c r="I318" s="5"/>
      <c r="K318" s="5"/>
      <c r="L318" s="2"/>
    </row>
    <row r="319" spans="2:12" ht="12.75" x14ac:dyDescent="0.2">
      <c r="B319" s="5"/>
      <c r="E319" s="5"/>
      <c r="G319" s="5"/>
      <c r="I319" s="5"/>
      <c r="K319" s="5"/>
      <c r="L319" s="2"/>
    </row>
    <row r="320" spans="2:12" ht="12.75" x14ac:dyDescent="0.2">
      <c r="B320" s="5"/>
      <c r="E320" s="5"/>
      <c r="G320" s="5"/>
      <c r="I320" s="5"/>
      <c r="K320" s="5"/>
      <c r="L320" s="2"/>
    </row>
    <row r="321" spans="2:12" ht="12.75" x14ac:dyDescent="0.2">
      <c r="B321" s="5"/>
      <c r="E321" s="5"/>
      <c r="G321" s="5"/>
      <c r="I321" s="5"/>
      <c r="K321" s="5"/>
      <c r="L321" s="2"/>
    </row>
    <row r="322" spans="2:12" ht="12.75" x14ac:dyDescent="0.2">
      <c r="B322" s="5"/>
      <c r="E322" s="5"/>
      <c r="G322" s="5"/>
      <c r="I322" s="5"/>
      <c r="K322" s="5"/>
      <c r="L322" s="2"/>
    </row>
    <row r="323" spans="2:12" ht="12.75" x14ac:dyDescent="0.2">
      <c r="B323" s="5"/>
      <c r="E323" s="5"/>
      <c r="G323" s="5"/>
      <c r="I323" s="5"/>
      <c r="K323" s="5"/>
      <c r="L323" s="2"/>
    </row>
    <row r="324" spans="2:12" ht="12.75" x14ac:dyDescent="0.2">
      <c r="B324" s="5"/>
      <c r="E324" s="5"/>
      <c r="G324" s="5"/>
      <c r="I324" s="5"/>
      <c r="K324" s="5"/>
      <c r="L324" s="2"/>
    </row>
    <row r="325" spans="2:12" ht="12.75" x14ac:dyDescent="0.2">
      <c r="B325" s="5"/>
      <c r="E325" s="5"/>
      <c r="G325" s="5"/>
      <c r="I325" s="5"/>
      <c r="K325" s="5"/>
      <c r="L325" s="2"/>
    </row>
    <row r="326" spans="2:12" ht="12.75" x14ac:dyDescent="0.2">
      <c r="B326" s="5"/>
      <c r="E326" s="5"/>
      <c r="G326" s="5"/>
      <c r="I326" s="5"/>
      <c r="K326" s="5"/>
      <c r="L326" s="2"/>
    </row>
    <row r="327" spans="2:12" ht="12.75" x14ac:dyDescent="0.2">
      <c r="B327" s="5"/>
      <c r="E327" s="5"/>
      <c r="G327" s="5"/>
      <c r="I327" s="5"/>
      <c r="K327" s="5"/>
      <c r="L327" s="2"/>
    </row>
    <row r="328" spans="2:12" ht="12.75" x14ac:dyDescent="0.2">
      <c r="B328" s="5"/>
      <c r="E328" s="5"/>
      <c r="G328" s="5"/>
      <c r="I328" s="5"/>
      <c r="K328" s="5"/>
      <c r="L328" s="2"/>
    </row>
    <row r="329" spans="2:12" ht="12.75" x14ac:dyDescent="0.2">
      <c r="B329" s="5"/>
      <c r="E329" s="5"/>
      <c r="G329" s="5"/>
      <c r="I329" s="5"/>
      <c r="K329" s="5"/>
      <c r="L329" s="2"/>
    </row>
    <row r="330" spans="2:12" ht="12.75" x14ac:dyDescent="0.2">
      <c r="B330" s="5"/>
      <c r="E330" s="5"/>
      <c r="G330" s="5"/>
      <c r="I330" s="5"/>
      <c r="K330" s="5"/>
      <c r="L330" s="2"/>
    </row>
    <row r="331" spans="2:12" ht="12.75" x14ac:dyDescent="0.2">
      <c r="B331" s="5"/>
      <c r="E331" s="5"/>
      <c r="G331" s="5"/>
      <c r="I331" s="5"/>
      <c r="K331" s="5"/>
      <c r="L331" s="2"/>
    </row>
    <row r="332" spans="2:12" ht="12.75" x14ac:dyDescent="0.2">
      <c r="B332" s="5"/>
      <c r="E332" s="5"/>
      <c r="G332" s="5"/>
      <c r="I332" s="5"/>
      <c r="K332" s="5"/>
      <c r="L332" s="2"/>
    </row>
    <row r="333" spans="2:12" ht="12.75" x14ac:dyDescent="0.2">
      <c r="B333" s="5"/>
      <c r="E333" s="5"/>
      <c r="G333" s="5"/>
      <c r="I333" s="5"/>
      <c r="K333" s="5"/>
      <c r="L333" s="2"/>
    </row>
    <row r="334" spans="2:12" ht="12.75" x14ac:dyDescent="0.2">
      <c r="B334" s="5"/>
      <c r="E334" s="5"/>
      <c r="G334" s="5"/>
      <c r="I334" s="5"/>
      <c r="K334" s="5"/>
      <c r="L334" s="2"/>
    </row>
    <row r="335" spans="2:12" ht="12.75" x14ac:dyDescent="0.2">
      <c r="B335" s="5"/>
      <c r="E335" s="5"/>
      <c r="G335" s="5"/>
      <c r="I335" s="5"/>
      <c r="K335" s="5"/>
      <c r="L335" s="2"/>
    </row>
    <row r="336" spans="2:12" ht="12.75" x14ac:dyDescent="0.2">
      <c r="B336" s="5"/>
      <c r="E336" s="5"/>
      <c r="G336" s="5"/>
      <c r="I336" s="5"/>
      <c r="K336" s="5"/>
      <c r="L336" s="2"/>
    </row>
    <row r="337" spans="2:12" ht="12.75" x14ac:dyDescent="0.2">
      <c r="B337" s="5"/>
      <c r="E337" s="5"/>
      <c r="G337" s="5"/>
      <c r="I337" s="5"/>
      <c r="K337" s="5"/>
      <c r="L337" s="2"/>
    </row>
    <row r="338" spans="2:12" ht="12.75" x14ac:dyDescent="0.2">
      <c r="B338" s="5"/>
      <c r="E338" s="5"/>
      <c r="G338" s="5"/>
      <c r="I338" s="5"/>
      <c r="K338" s="5"/>
      <c r="L338" s="2"/>
    </row>
    <row r="339" spans="2:12" ht="12.75" x14ac:dyDescent="0.2">
      <c r="B339" s="5"/>
      <c r="E339" s="5"/>
      <c r="G339" s="5"/>
      <c r="I339" s="5"/>
      <c r="K339" s="5"/>
      <c r="L339" s="2"/>
    </row>
    <row r="340" spans="2:12" ht="12.75" x14ac:dyDescent="0.2">
      <c r="B340" s="5"/>
      <c r="E340" s="5"/>
      <c r="G340" s="5"/>
      <c r="I340" s="5"/>
      <c r="K340" s="5"/>
      <c r="L340" s="2"/>
    </row>
    <row r="341" spans="2:12" ht="12.75" x14ac:dyDescent="0.2">
      <c r="B341" s="5"/>
      <c r="E341" s="5"/>
      <c r="G341" s="5"/>
      <c r="I341" s="5"/>
      <c r="K341" s="5"/>
      <c r="L341" s="2"/>
    </row>
    <row r="342" spans="2:12" ht="12.75" x14ac:dyDescent="0.2">
      <c r="B342" s="5"/>
      <c r="E342" s="5"/>
      <c r="G342" s="5"/>
      <c r="I342" s="5"/>
      <c r="K342" s="5"/>
      <c r="L342" s="2"/>
    </row>
    <row r="343" spans="2:12" ht="12.75" x14ac:dyDescent="0.2">
      <c r="B343" s="5"/>
      <c r="E343" s="5"/>
      <c r="G343" s="5"/>
      <c r="I343" s="5"/>
      <c r="K343" s="5"/>
      <c r="L343" s="2"/>
    </row>
    <row r="344" spans="2:12" ht="12.75" x14ac:dyDescent="0.2">
      <c r="B344" s="5"/>
      <c r="E344" s="5"/>
      <c r="G344" s="5"/>
      <c r="I344" s="5"/>
      <c r="K344" s="5"/>
      <c r="L344" s="2"/>
    </row>
    <row r="345" spans="2:12" ht="12.75" x14ac:dyDescent="0.2">
      <c r="B345" s="5"/>
      <c r="E345" s="5"/>
      <c r="G345" s="5"/>
      <c r="I345" s="5"/>
      <c r="K345" s="5"/>
      <c r="L345" s="2"/>
    </row>
    <row r="346" spans="2:12" ht="12.75" x14ac:dyDescent="0.2">
      <c r="B346" s="5"/>
      <c r="E346" s="5"/>
      <c r="G346" s="5"/>
      <c r="I346" s="5"/>
      <c r="K346" s="5"/>
      <c r="L346" s="2"/>
    </row>
    <row r="347" spans="2:12" ht="12.75" x14ac:dyDescent="0.2">
      <c r="B347" s="5"/>
      <c r="E347" s="5"/>
      <c r="G347" s="5"/>
      <c r="I347" s="5"/>
      <c r="K347" s="5"/>
      <c r="L347" s="2"/>
    </row>
    <row r="348" spans="2:12" ht="12.75" x14ac:dyDescent="0.2">
      <c r="B348" s="5"/>
      <c r="E348" s="5"/>
      <c r="G348" s="5"/>
      <c r="I348" s="5"/>
      <c r="K348" s="5"/>
      <c r="L348" s="2"/>
    </row>
    <row r="349" spans="2:12" ht="12.75" x14ac:dyDescent="0.2">
      <c r="B349" s="5"/>
      <c r="E349" s="5"/>
      <c r="G349" s="5"/>
      <c r="I349" s="5"/>
      <c r="K349" s="5"/>
      <c r="L349" s="2"/>
    </row>
    <row r="350" spans="2:12" ht="12.75" x14ac:dyDescent="0.2">
      <c r="B350" s="5"/>
      <c r="E350" s="5"/>
      <c r="G350" s="5"/>
      <c r="I350" s="5"/>
      <c r="K350" s="5"/>
      <c r="L350" s="2"/>
    </row>
    <row r="351" spans="2:12" ht="12.75" x14ac:dyDescent="0.2">
      <c r="B351" s="5"/>
      <c r="E351" s="5"/>
      <c r="G351" s="5"/>
      <c r="I351" s="5"/>
      <c r="K351" s="5"/>
      <c r="L351" s="2"/>
    </row>
    <row r="352" spans="2:12" ht="12.75" x14ac:dyDescent="0.2">
      <c r="B352" s="5"/>
      <c r="E352" s="5"/>
      <c r="G352" s="5"/>
      <c r="I352" s="5"/>
      <c r="K352" s="5"/>
      <c r="L352" s="2"/>
    </row>
    <row r="353" spans="2:12" ht="12.75" x14ac:dyDescent="0.2">
      <c r="B353" s="5"/>
      <c r="E353" s="5"/>
      <c r="G353" s="5"/>
      <c r="I353" s="5"/>
      <c r="K353" s="5"/>
      <c r="L353" s="2"/>
    </row>
    <row r="354" spans="2:12" ht="12.75" x14ac:dyDescent="0.2">
      <c r="B354" s="5"/>
      <c r="E354" s="5"/>
      <c r="G354" s="5"/>
      <c r="I354" s="5"/>
      <c r="K354" s="5"/>
      <c r="L354" s="2"/>
    </row>
    <row r="355" spans="2:12" ht="12.75" x14ac:dyDescent="0.2">
      <c r="B355" s="5"/>
      <c r="E355" s="5"/>
      <c r="G355" s="5"/>
      <c r="I355" s="5"/>
      <c r="K355" s="5"/>
      <c r="L355" s="2"/>
    </row>
    <row r="356" spans="2:12" ht="12.75" x14ac:dyDescent="0.2">
      <c r="B356" s="5"/>
      <c r="E356" s="5"/>
      <c r="G356" s="5"/>
      <c r="I356" s="5"/>
      <c r="K356" s="5"/>
      <c r="L356" s="2"/>
    </row>
    <row r="357" spans="2:12" ht="12.75" x14ac:dyDescent="0.2">
      <c r="B357" s="5"/>
      <c r="E357" s="5"/>
      <c r="G357" s="5"/>
      <c r="I357" s="5"/>
      <c r="K357" s="5"/>
      <c r="L357" s="2"/>
    </row>
    <row r="358" spans="2:12" ht="12.75" x14ac:dyDescent="0.2">
      <c r="B358" s="5"/>
      <c r="E358" s="5"/>
      <c r="G358" s="5"/>
      <c r="I358" s="5"/>
      <c r="K358" s="5"/>
      <c r="L358" s="2"/>
    </row>
    <row r="359" spans="2:12" ht="12.75" x14ac:dyDescent="0.2">
      <c r="B359" s="5"/>
      <c r="E359" s="5"/>
      <c r="G359" s="5"/>
      <c r="I359" s="5"/>
      <c r="K359" s="5"/>
      <c r="L359" s="2"/>
    </row>
    <row r="360" spans="2:12" ht="12.75" x14ac:dyDescent="0.2">
      <c r="B360" s="5"/>
      <c r="E360" s="5"/>
      <c r="G360" s="5"/>
      <c r="I360" s="5"/>
      <c r="K360" s="5"/>
      <c r="L360" s="2"/>
    </row>
    <row r="361" spans="2:12" ht="12.75" x14ac:dyDescent="0.2">
      <c r="B361" s="5"/>
      <c r="E361" s="5"/>
      <c r="G361" s="5"/>
      <c r="I361" s="5"/>
      <c r="K361" s="5"/>
      <c r="L361" s="2"/>
    </row>
    <row r="362" spans="2:12" ht="12.75" x14ac:dyDescent="0.2">
      <c r="B362" s="5"/>
      <c r="E362" s="5"/>
      <c r="G362" s="5"/>
      <c r="I362" s="5"/>
      <c r="K362" s="5"/>
      <c r="L362" s="2"/>
    </row>
    <row r="363" spans="2:12" ht="12.75" x14ac:dyDescent="0.2">
      <c r="B363" s="5"/>
      <c r="E363" s="5"/>
      <c r="G363" s="5"/>
      <c r="I363" s="5"/>
      <c r="K363" s="5"/>
      <c r="L363" s="2"/>
    </row>
    <row r="364" spans="2:12" ht="12.75" x14ac:dyDescent="0.2">
      <c r="B364" s="5"/>
      <c r="E364" s="5"/>
      <c r="G364" s="5"/>
      <c r="I364" s="5"/>
      <c r="K364" s="5"/>
      <c r="L364" s="2"/>
    </row>
    <row r="365" spans="2:12" ht="12.75" x14ac:dyDescent="0.2">
      <c r="B365" s="5"/>
      <c r="E365" s="5"/>
      <c r="G365" s="5"/>
      <c r="I365" s="5"/>
      <c r="K365" s="5"/>
      <c r="L365" s="2"/>
    </row>
    <row r="366" spans="2:12" ht="12.75" x14ac:dyDescent="0.2">
      <c r="B366" s="5"/>
      <c r="E366" s="5"/>
      <c r="G366" s="5"/>
      <c r="I366" s="5"/>
      <c r="K366" s="5"/>
      <c r="L366" s="2"/>
    </row>
    <row r="367" spans="2:12" ht="12.75" x14ac:dyDescent="0.2">
      <c r="B367" s="5"/>
      <c r="E367" s="5"/>
      <c r="G367" s="5"/>
      <c r="I367" s="5"/>
      <c r="K367" s="5"/>
      <c r="L367" s="2"/>
    </row>
    <row r="368" spans="2:12" ht="12.75" x14ac:dyDescent="0.2">
      <c r="B368" s="5"/>
      <c r="E368" s="5"/>
      <c r="G368" s="5"/>
      <c r="I368" s="5"/>
      <c r="K368" s="5"/>
      <c r="L368" s="2"/>
    </row>
    <row r="369" spans="2:12" ht="12.75" x14ac:dyDescent="0.2">
      <c r="B369" s="5"/>
      <c r="E369" s="5"/>
      <c r="G369" s="5"/>
      <c r="I369" s="5"/>
      <c r="K369" s="5"/>
      <c r="L369" s="2"/>
    </row>
    <row r="370" spans="2:12" ht="12.75" x14ac:dyDescent="0.2">
      <c r="B370" s="5"/>
      <c r="E370" s="5"/>
      <c r="G370" s="5"/>
      <c r="I370" s="5"/>
      <c r="K370" s="5"/>
      <c r="L370" s="2"/>
    </row>
    <row r="371" spans="2:12" ht="12.75" x14ac:dyDescent="0.2">
      <c r="B371" s="5"/>
      <c r="E371" s="5"/>
      <c r="G371" s="5"/>
      <c r="I371" s="5"/>
      <c r="K371" s="5"/>
      <c r="L371" s="2"/>
    </row>
    <row r="372" spans="2:12" ht="12.75" x14ac:dyDescent="0.2">
      <c r="B372" s="5"/>
      <c r="E372" s="5"/>
      <c r="G372" s="5"/>
      <c r="I372" s="5"/>
      <c r="K372" s="5"/>
      <c r="L372" s="2"/>
    </row>
    <row r="373" spans="2:12" ht="12.75" x14ac:dyDescent="0.2">
      <c r="B373" s="5"/>
      <c r="E373" s="5"/>
      <c r="G373" s="5"/>
      <c r="I373" s="5"/>
      <c r="K373" s="5"/>
      <c r="L373" s="2"/>
    </row>
    <row r="374" spans="2:12" ht="12.75" x14ac:dyDescent="0.2">
      <c r="B374" s="5"/>
      <c r="E374" s="5"/>
      <c r="G374" s="5"/>
      <c r="I374" s="5"/>
      <c r="K374" s="5"/>
      <c r="L374" s="2"/>
    </row>
    <row r="375" spans="2:12" ht="12.75" x14ac:dyDescent="0.2">
      <c r="B375" s="5"/>
      <c r="E375" s="5"/>
      <c r="G375" s="5"/>
      <c r="I375" s="5"/>
      <c r="K375" s="5"/>
      <c r="L375" s="2"/>
    </row>
    <row r="376" spans="2:12" ht="12.75" x14ac:dyDescent="0.2">
      <c r="B376" s="5"/>
      <c r="E376" s="5"/>
      <c r="G376" s="5"/>
      <c r="I376" s="5"/>
      <c r="K376" s="5"/>
      <c r="L376" s="2"/>
    </row>
    <row r="377" spans="2:12" ht="12.75" x14ac:dyDescent="0.2">
      <c r="B377" s="5"/>
      <c r="E377" s="5"/>
      <c r="G377" s="5"/>
      <c r="I377" s="5"/>
      <c r="K377" s="5"/>
      <c r="L377" s="2"/>
    </row>
    <row r="378" spans="2:12" ht="12.75" x14ac:dyDescent="0.2">
      <c r="B378" s="5"/>
      <c r="E378" s="5"/>
      <c r="G378" s="5"/>
      <c r="I378" s="5"/>
      <c r="K378" s="5"/>
      <c r="L378" s="2"/>
    </row>
    <row r="379" spans="2:12" ht="12.75" x14ac:dyDescent="0.2">
      <c r="B379" s="5"/>
      <c r="E379" s="5"/>
      <c r="G379" s="5"/>
      <c r="I379" s="5"/>
      <c r="K379" s="5"/>
      <c r="L379" s="2"/>
    </row>
    <row r="380" spans="2:12" ht="12.75" x14ac:dyDescent="0.2">
      <c r="B380" s="5"/>
      <c r="E380" s="5"/>
      <c r="G380" s="5"/>
      <c r="I380" s="5"/>
      <c r="K380" s="5"/>
      <c r="L380" s="2"/>
    </row>
    <row r="381" spans="2:12" ht="12.75" x14ac:dyDescent="0.2">
      <c r="B381" s="5"/>
      <c r="E381" s="5"/>
      <c r="G381" s="5"/>
      <c r="I381" s="5"/>
      <c r="K381" s="5"/>
      <c r="L381" s="2"/>
    </row>
    <row r="382" spans="2:12" ht="12.75" x14ac:dyDescent="0.2">
      <c r="B382" s="5"/>
      <c r="E382" s="5"/>
      <c r="G382" s="5"/>
      <c r="I382" s="5"/>
      <c r="K382" s="5"/>
      <c r="L382" s="2"/>
    </row>
    <row r="383" spans="2:12" ht="12.75" x14ac:dyDescent="0.2">
      <c r="B383" s="5"/>
      <c r="E383" s="5"/>
      <c r="G383" s="5"/>
      <c r="I383" s="5"/>
      <c r="K383" s="5"/>
      <c r="L383" s="2"/>
    </row>
    <row r="384" spans="2:12" ht="12.75" x14ac:dyDescent="0.2">
      <c r="B384" s="5"/>
      <c r="E384" s="5"/>
      <c r="G384" s="5"/>
      <c r="I384" s="5"/>
      <c r="K384" s="5"/>
      <c r="L384" s="2"/>
    </row>
    <row r="385" spans="2:12" ht="12.75" x14ac:dyDescent="0.2">
      <c r="B385" s="5"/>
      <c r="E385" s="5"/>
      <c r="G385" s="5"/>
      <c r="I385" s="5"/>
      <c r="K385" s="5"/>
      <c r="L385" s="2"/>
    </row>
    <row r="386" spans="2:12" ht="12.75" x14ac:dyDescent="0.2">
      <c r="B386" s="5"/>
      <c r="E386" s="5"/>
      <c r="G386" s="5"/>
      <c r="I386" s="5"/>
      <c r="K386" s="5"/>
      <c r="L386" s="2"/>
    </row>
    <row r="387" spans="2:12" ht="12.75" x14ac:dyDescent="0.2">
      <c r="B387" s="5"/>
      <c r="E387" s="5"/>
      <c r="G387" s="5"/>
      <c r="I387" s="5"/>
      <c r="K387" s="5"/>
      <c r="L387" s="2"/>
    </row>
    <row r="388" spans="2:12" ht="12.75" x14ac:dyDescent="0.2">
      <c r="B388" s="5"/>
      <c r="E388" s="5"/>
      <c r="G388" s="5"/>
      <c r="I388" s="5"/>
      <c r="K388" s="5"/>
      <c r="L388" s="2"/>
    </row>
    <row r="389" spans="2:12" ht="12.75" x14ac:dyDescent="0.2">
      <c r="B389" s="5"/>
      <c r="E389" s="5"/>
      <c r="G389" s="5"/>
      <c r="I389" s="5"/>
      <c r="K389" s="5"/>
      <c r="L389" s="2"/>
    </row>
    <row r="390" spans="2:12" ht="12.75" x14ac:dyDescent="0.2">
      <c r="B390" s="5"/>
      <c r="E390" s="5"/>
      <c r="G390" s="5"/>
      <c r="I390" s="5"/>
      <c r="K390" s="5"/>
      <c r="L390" s="2"/>
    </row>
    <row r="391" spans="2:12" ht="12.75" x14ac:dyDescent="0.2">
      <c r="B391" s="5"/>
      <c r="E391" s="5"/>
      <c r="G391" s="5"/>
      <c r="I391" s="5"/>
      <c r="K391" s="5"/>
      <c r="L391" s="2"/>
    </row>
    <row r="392" spans="2:12" ht="12.75" x14ac:dyDescent="0.2">
      <c r="B392" s="5"/>
      <c r="E392" s="5"/>
      <c r="G392" s="5"/>
      <c r="I392" s="5"/>
      <c r="K392" s="5"/>
      <c r="L392" s="2"/>
    </row>
    <row r="393" spans="2:12" ht="12.75" x14ac:dyDescent="0.2">
      <c r="B393" s="5"/>
      <c r="E393" s="5"/>
      <c r="G393" s="5"/>
      <c r="I393" s="5"/>
      <c r="K393" s="5"/>
      <c r="L393" s="2"/>
    </row>
    <row r="394" spans="2:12" ht="12.75" x14ac:dyDescent="0.2">
      <c r="B394" s="5"/>
      <c r="E394" s="5"/>
      <c r="G394" s="5"/>
      <c r="I394" s="5"/>
      <c r="K394" s="5"/>
      <c r="L394" s="2"/>
    </row>
    <row r="395" spans="2:12" ht="12.75" x14ac:dyDescent="0.2">
      <c r="B395" s="5"/>
      <c r="E395" s="5"/>
      <c r="G395" s="5"/>
      <c r="I395" s="5"/>
      <c r="K395" s="5"/>
      <c r="L395" s="2"/>
    </row>
    <row r="396" spans="2:12" ht="12.75" x14ac:dyDescent="0.2">
      <c r="B396" s="5"/>
      <c r="E396" s="5"/>
      <c r="G396" s="5"/>
      <c r="I396" s="5"/>
      <c r="K396" s="5"/>
      <c r="L396" s="2"/>
    </row>
    <row r="397" spans="2:12" ht="12.75" x14ac:dyDescent="0.2">
      <c r="B397" s="5"/>
      <c r="E397" s="5"/>
      <c r="G397" s="5"/>
      <c r="I397" s="5"/>
      <c r="K397" s="5"/>
      <c r="L397" s="2"/>
    </row>
    <row r="398" spans="2:12" ht="12.75" x14ac:dyDescent="0.2">
      <c r="B398" s="5"/>
      <c r="E398" s="5"/>
      <c r="G398" s="5"/>
      <c r="I398" s="5"/>
      <c r="K398" s="5"/>
      <c r="L398" s="2"/>
    </row>
    <row r="399" spans="2:12" ht="12.75" x14ac:dyDescent="0.2">
      <c r="B399" s="5"/>
      <c r="E399" s="5"/>
      <c r="G399" s="5"/>
      <c r="I399" s="5"/>
      <c r="K399" s="5"/>
      <c r="L399" s="2"/>
    </row>
    <row r="400" spans="2:12" ht="12.75" x14ac:dyDescent="0.2">
      <c r="B400" s="5"/>
      <c r="E400" s="5"/>
      <c r="G400" s="5"/>
      <c r="I400" s="5"/>
      <c r="K400" s="5"/>
      <c r="L400" s="2"/>
    </row>
    <row r="401" spans="2:12" ht="12.75" x14ac:dyDescent="0.2">
      <c r="B401" s="5"/>
      <c r="E401" s="5"/>
      <c r="G401" s="5"/>
      <c r="I401" s="5"/>
      <c r="K401" s="5"/>
      <c r="L401" s="2"/>
    </row>
    <row r="402" spans="2:12" ht="12.75" x14ac:dyDescent="0.2">
      <c r="B402" s="5"/>
      <c r="E402" s="5"/>
      <c r="G402" s="5"/>
      <c r="I402" s="5"/>
      <c r="K402" s="5"/>
      <c r="L402" s="2"/>
    </row>
    <row r="403" spans="2:12" ht="12.75" x14ac:dyDescent="0.2">
      <c r="B403" s="5"/>
      <c r="E403" s="5"/>
      <c r="G403" s="5"/>
      <c r="I403" s="5"/>
      <c r="K403" s="5"/>
      <c r="L403" s="2"/>
    </row>
    <row r="404" spans="2:12" ht="12.75" x14ac:dyDescent="0.2">
      <c r="B404" s="5"/>
      <c r="E404" s="5"/>
      <c r="G404" s="5"/>
      <c r="I404" s="5"/>
      <c r="K404" s="5"/>
      <c r="L404" s="2"/>
    </row>
    <row r="405" spans="2:12" ht="12.75" x14ac:dyDescent="0.2">
      <c r="B405" s="5"/>
      <c r="E405" s="5"/>
      <c r="G405" s="5"/>
      <c r="I405" s="5"/>
      <c r="K405" s="5"/>
      <c r="L405" s="2"/>
    </row>
    <row r="406" spans="2:12" ht="12.75" x14ac:dyDescent="0.2">
      <c r="B406" s="5"/>
      <c r="E406" s="5"/>
      <c r="G406" s="5"/>
      <c r="I406" s="5"/>
      <c r="K406" s="5"/>
      <c r="L406" s="2"/>
    </row>
    <row r="407" spans="2:12" ht="12.75" x14ac:dyDescent="0.2">
      <c r="B407" s="5"/>
      <c r="E407" s="5"/>
      <c r="G407" s="5"/>
      <c r="I407" s="5"/>
      <c r="K407" s="5"/>
      <c r="L407" s="2"/>
    </row>
    <row r="408" spans="2:12" ht="12.75" x14ac:dyDescent="0.2">
      <c r="B408" s="5"/>
      <c r="E408" s="5"/>
      <c r="G408" s="5"/>
      <c r="I408" s="5"/>
      <c r="K408" s="5"/>
      <c r="L408" s="2"/>
    </row>
    <row r="409" spans="2:12" ht="12.75" x14ac:dyDescent="0.2">
      <c r="B409" s="5"/>
      <c r="E409" s="5"/>
      <c r="G409" s="5"/>
      <c r="I409" s="5"/>
      <c r="K409" s="5"/>
      <c r="L409" s="2"/>
    </row>
    <row r="410" spans="2:12" ht="12.75" x14ac:dyDescent="0.2">
      <c r="B410" s="5"/>
      <c r="E410" s="5"/>
      <c r="G410" s="5"/>
      <c r="I410" s="5"/>
      <c r="K410" s="5"/>
      <c r="L410" s="2"/>
    </row>
    <row r="411" spans="2:12" ht="12.75" x14ac:dyDescent="0.2">
      <c r="B411" s="5"/>
      <c r="E411" s="5"/>
      <c r="G411" s="5"/>
      <c r="I411" s="5"/>
      <c r="K411" s="5"/>
      <c r="L411" s="2"/>
    </row>
    <row r="412" spans="2:12" ht="12.75" x14ac:dyDescent="0.2">
      <c r="B412" s="5"/>
      <c r="E412" s="5"/>
      <c r="G412" s="5"/>
      <c r="I412" s="5"/>
      <c r="K412" s="5"/>
      <c r="L412" s="2"/>
    </row>
    <row r="413" spans="2:12" ht="12.75" x14ac:dyDescent="0.2">
      <c r="B413" s="5"/>
      <c r="E413" s="5"/>
      <c r="G413" s="5"/>
      <c r="I413" s="5"/>
      <c r="K413" s="5"/>
      <c r="L413" s="2"/>
    </row>
    <row r="414" spans="2:12" ht="12.75" x14ac:dyDescent="0.2">
      <c r="B414" s="5"/>
      <c r="E414" s="5"/>
      <c r="G414" s="5"/>
      <c r="I414" s="5"/>
      <c r="K414" s="5"/>
      <c r="L414" s="2"/>
    </row>
    <row r="415" spans="2:12" ht="12.75" x14ac:dyDescent="0.2">
      <c r="B415" s="5"/>
      <c r="E415" s="5"/>
      <c r="G415" s="5"/>
      <c r="I415" s="5"/>
      <c r="K415" s="5"/>
      <c r="L415" s="2"/>
    </row>
    <row r="416" spans="2:12" ht="12.75" x14ac:dyDescent="0.2">
      <c r="B416" s="5"/>
      <c r="E416" s="5"/>
      <c r="G416" s="5"/>
      <c r="I416" s="5"/>
      <c r="K416" s="5"/>
      <c r="L416" s="2"/>
    </row>
    <row r="417" spans="2:12" ht="12.75" x14ac:dyDescent="0.2">
      <c r="B417" s="5"/>
      <c r="E417" s="5"/>
      <c r="G417" s="5"/>
      <c r="I417" s="5"/>
      <c r="K417" s="5"/>
      <c r="L417" s="2"/>
    </row>
    <row r="418" spans="2:12" ht="12.75" x14ac:dyDescent="0.2">
      <c r="B418" s="5"/>
      <c r="E418" s="5"/>
      <c r="G418" s="5"/>
      <c r="I418" s="5"/>
      <c r="K418" s="5"/>
      <c r="L418" s="2"/>
    </row>
    <row r="419" spans="2:12" ht="12.75" x14ac:dyDescent="0.2">
      <c r="B419" s="5"/>
      <c r="E419" s="5"/>
      <c r="G419" s="5"/>
      <c r="I419" s="5"/>
      <c r="K419" s="5"/>
      <c r="L419" s="2"/>
    </row>
    <row r="420" spans="2:12" ht="12.75" x14ac:dyDescent="0.2">
      <c r="B420" s="5"/>
      <c r="E420" s="5"/>
      <c r="G420" s="5"/>
      <c r="I420" s="5"/>
      <c r="K420" s="5"/>
      <c r="L420" s="2"/>
    </row>
    <row r="421" spans="2:12" ht="12.75" x14ac:dyDescent="0.2">
      <c r="B421" s="5"/>
      <c r="E421" s="5"/>
      <c r="G421" s="5"/>
      <c r="I421" s="5"/>
      <c r="K421" s="5"/>
      <c r="L421" s="2"/>
    </row>
    <row r="422" spans="2:12" ht="12.75" x14ac:dyDescent="0.2">
      <c r="B422" s="5"/>
      <c r="E422" s="5"/>
      <c r="G422" s="5"/>
      <c r="I422" s="5"/>
      <c r="K422" s="5"/>
      <c r="L422" s="2"/>
    </row>
    <row r="423" spans="2:12" ht="12.75" x14ac:dyDescent="0.2">
      <c r="B423" s="5"/>
      <c r="E423" s="5"/>
      <c r="G423" s="5"/>
      <c r="I423" s="5"/>
      <c r="K423" s="5"/>
      <c r="L423" s="2"/>
    </row>
    <row r="424" spans="2:12" ht="12.75" x14ac:dyDescent="0.2">
      <c r="B424" s="5"/>
      <c r="E424" s="5"/>
      <c r="G424" s="5"/>
      <c r="I424" s="5"/>
      <c r="K424" s="5"/>
      <c r="L424" s="2"/>
    </row>
    <row r="425" spans="2:12" ht="12.75" x14ac:dyDescent="0.2">
      <c r="B425" s="5"/>
      <c r="E425" s="5"/>
      <c r="G425" s="5"/>
      <c r="I425" s="5"/>
      <c r="K425" s="5"/>
      <c r="L425" s="2"/>
    </row>
    <row r="426" spans="2:12" ht="12.75" x14ac:dyDescent="0.2">
      <c r="B426" s="5"/>
      <c r="E426" s="5"/>
      <c r="G426" s="5"/>
      <c r="I426" s="5"/>
      <c r="K426" s="5"/>
      <c r="L426" s="2"/>
    </row>
    <row r="427" spans="2:12" ht="12.75" x14ac:dyDescent="0.2">
      <c r="B427" s="5"/>
      <c r="E427" s="5"/>
      <c r="G427" s="5"/>
      <c r="I427" s="5"/>
      <c r="K427" s="5"/>
      <c r="L427" s="2"/>
    </row>
    <row r="428" spans="2:12" ht="12.75" x14ac:dyDescent="0.2">
      <c r="B428" s="5"/>
      <c r="E428" s="5"/>
      <c r="G428" s="5"/>
      <c r="I428" s="5"/>
      <c r="K428" s="5"/>
      <c r="L428" s="2"/>
    </row>
    <row r="429" spans="2:12" ht="12.75" x14ac:dyDescent="0.2">
      <c r="B429" s="5"/>
      <c r="E429" s="5"/>
      <c r="G429" s="5"/>
      <c r="I429" s="5"/>
      <c r="K429" s="5"/>
      <c r="L429" s="2"/>
    </row>
    <row r="430" spans="2:12" ht="12.75" x14ac:dyDescent="0.2">
      <c r="B430" s="5"/>
      <c r="E430" s="5"/>
      <c r="G430" s="5"/>
      <c r="I430" s="5"/>
      <c r="K430" s="5"/>
      <c r="L430" s="2"/>
    </row>
    <row r="431" spans="2:12" ht="12.75" x14ac:dyDescent="0.2">
      <c r="B431" s="5"/>
      <c r="E431" s="5"/>
      <c r="G431" s="5"/>
      <c r="I431" s="5"/>
      <c r="K431" s="5"/>
      <c r="L431" s="2"/>
    </row>
    <row r="432" spans="2:12" ht="12.75" x14ac:dyDescent="0.2">
      <c r="B432" s="5"/>
      <c r="E432" s="5"/>
      <c r="G432" s="5"/>
      <c r="I432" s="5"/>
      <c r="K432" s="5"/>
      <c r="L432" s="2"/>
    </row>
    <row r="433" spans="2:12" ht="12.75" x14ac:dyDescent="0.2">
      <c r="B433" s="5"/>
      <c r="E433" s="5"/>
      <c r="G433" s="5"/>
      <c r="I433" s="5"/>
      <c r="K433" s="5"/>
      <c r="L433" s="2"/>
    </row>
    <row r="434" spans="2:12" ht="12.75" x14ac:dyDescent="0.2">
      <c r="B434" s="5"/>
      <c r="E434" s="5"/>
      <c r="G434" s="5"/>
      <c r="I434" s="5"/>
      <c r="K434" s="5"/>
      <c r="L434" s="2"/>
    </row>
    <row r="435" spans="2:12" ht="12.75" x14ac:dyDescent="0.2">
      <c r="B435" s="5"/>
      <c r="E435" s="5"/>
      <c r="G435" s="5"/>
      <c r="I435" s="5"/>
      <c r="K435" s="5"/>
      <c r="L435" s="2"/>
    </row>
    <row r="436" spans="2:12" ht="12.75" x14ac:dyDescent="0.2">
      <c r="B436" s="5"/>
      <c r="E436" s="5"/>
      <c r="G436" s="5"/>
      <c r="I436" s="5"/>
      <c r="K436" s="5"/>
      <c r="L436" s="2"/>
    </row>
    <row r="437" spans="2:12" ht="12.75" x14ac:dyDescent="0.2">
      <c r="B437" s="5"/>
      <c r="E437" s="5"/>
      <c r="G437" s="5"/>
      <c r="I437" s="5"/>
      <c r="K437" s="5"/>
      <c r="L437" s="2"/>
    </row>
    <row r="438" spans="2:12" ht="12.75" x14ac:dyDescent="0.2">
      <c r="B438" s="5"/>
      <c r="E438" s="5"/>
      <c r="G438" s="5"/>
      <c r="I438" s="5"/>
      <c r="K438" s="5"/>
      <c r="L438" s="2"/>
    </row>
    <row r="439" spans="2:12" ht="12.75" x14ac:dyDescent="0.2">
      <c r="B439" s="5"/>
      <c r="E439" s="5"/>
      <c r="G439" s="5"/>
      <c r="I439" s="5"/>
      <c r="K439" s="5"/>
      <c r="L439" s="2"/>
    </row>
    <row r="440" spans="2:12" ht="12.75" x14ac:dyDescent="0.2">
      <c r="B440" s="5"/>
      <c r="E440" s="5"/>
      <c r="G440" s="5"/>
      <c r="I440" s="5"/>
      <c r="K440" s="5"/>
      <c r="L440" s="2"/>
    </row>
    <row r="441" spans="2:12" ht="12.75" x14ac:dyDescent="0.2">
      <c r="B441" s="5"/>
      <c r="E441" s="5"/>
      <c r="G441" s="5"/>
      <c r="I441" s="5"/>
      <c r="K441" s="5"/>
      <c r="L441" s="2"/>
    </row>
    <row r="442" spans="2:12" ht="12.75" x14ac:dyDescent="0.2">
      <c r="B442" s="5"/>
      <c r="E442" s="5"/>
      <c r="G442" s="5"/>
      <c r="I442" s="5"/>
      <c r="K442" s="5"/>
      <c r="L442" s="2"/>
    </row>
    <row r="443" spans="2:12" ht="12.75" x14ac:dyDescent="0.2">
      <c r="B443" s="5"/>
      <c r="E443" s="5"/>
      <c r="G443" s="5"/>
      <c r="I443" s="5"/>
      <c r="K443" s="5"/>
      <c r="L443" s="2"/>
    </row>
    <row r="444" spans="2:12" ht="12.75" x14ac:dyDescent="0.2">
      <c r="B444" s="5"/>
      <c r="E444" s="5"/>
      <c r="G444" s="5"/>
      <c r="I444" s="5"/>
      <c r="K444" s="5"/>
      <c r="L444" s="2"/>
    </row>
    <row r="445" spans="2:12" ht="12.75" x14ac:dyDescent="0.2">
      <c r="B445" s="5"/>
      <c r="E445" s="5"/>
      <c r="G445" s="5"/>
      <c r="I445" s="5"/>
      <c r="K445" s="5"/>
      <c r="L445" s="2"/>
    </row>
    <row r="446" spans="2:12" ht="12.75" x14ac:dyDescent="0.2">
      <c r="B446" s="5"/>
      <c r="E446" s="5"/>
      <c r="G446" s="5"/>
      <c r="I446" s="5"/>
      <c r="K446" s="5"/>
      <c r="L446" s="2"/>
    </row>
    <row r="447" spans="2:12" ht="12.75" x14ac:dyDescent="0.2">
      <c r="B447" s="5"/>
      <c r="E447" s="5"/>
      <c r="G447" s="5"/>
      <c r="I447" s="5"/>
      <c r="K447" s="5"/>
      <c r="L447" s="2"/>
    </row>
    <row r="448" spans="2:12" ht="12.75" x14ac:dyDescent="0.2">
      <c r="B448" s="5"/>
      <c r="E448" s="5"/>
      <c r="G448" s="5"/>
      <c r="I448" s="5"/>
      <c r="K448" s="5"/>
      <c r="L448" s="2"/>
    </row>
    <row r="449" spans="2:12" ht="12.75" x14ac:dyDescent="0.2">
      <c r="B449" s="5"/>
      <c r="E449" s="5"/>
      <c r="G449" s="5"/>
      <c r="I449" s="5"/>
      <c r="K449" s="5"/>
      <c r="L449" s="2"/>
    </row>
    <row r="450" spans="2:12" ht="12.75" x14ac:dyDescent="0.2">
      <c r="B450" s="5"/>
      <c r="E450" s="5"/>
      <c r="G450" s="5"/>
      <c r="I450" s="5"/>
      <c r="K450" s="5"/>
      <c r="L450" s="2"/>
    </row>
    <row r="451" spans="2:12" ht="12.75" x14ac:dyDescent="0.2">
      <c r="B451" s="5"/>
      <c r="E451" s="5"/>
      <c r="G451" s="5"/>
      <c r="I451" s="5"/>
      <c r="K451" s="5"/>
      <c r="L451" s="2"/>
    </row>
    <row r="452" spans="2:12" ht="12.75" x14ac:dyDescent="0.2">
      <c r="B452" s="5"/>
      <c r="E452" s="5"/>
      <c r="G452" s="5"/>
      <c r="I452" s="5"/>
      <c r="K452" s="5"/>
      <c r="L452" s="2"/>
    </row>
    <row r="453" spans="2:12" ht="12.75" x14ac:dyDescent="0.2">
      <c r="B453" s="5"/>
      <c r="E453" s="5"/>
      <c r="G453" s="5"/>
      <c r="I453" s="5"/>
      <c r="K453" s="5"/>
      <c r="L453" s="2"/>
    </row>
    <row r="454" spans="2:12" ht="12.75" x14ac:dyDescent="0.2">
      <c r="B454" s="5"/>
      <c r="E454" s="5"/>
      <c r="G454" s="5"/>
      <c r="I454" s="5"/>
      <c r="K454" s="5"/>
      <c r="L454" s="2"/>
    </row>
    <row r="455" spans="2:12" ht="12.75" x14ac:dyDescent="0.2">
      <c r="B455" s="5"/>
      <c r="E455" s="5"/>
      <c r="G455" s="5"/>
      <c r="I455" s="5"/>
      <c r="K455" s="5"/>
      <c r="L455" s="2"/>
    </row>
    <row r="456" spans="2:12" ht="12.75" x14ac:dyDescent="0.2">
      <c r="B456" s="5"/>
      <c r="E456" s="5"/>
      <c r="G456" s="5"/>
      <c r="I456" s="5"/>
      <c r="K456" s="5"/>
      <c r="L456" s="2"/>
    </row>
    <row r="457" spans="2:12" ht="12.75" x14ac:dyDescent="0.2">
      <c r="B457" s="5"/>
      <c r="E457" s="5"/>
      <c r="G457" s="5"/>
      <c r="I457" s="5"/>
      <c r="K457" s="5"/>
      <c r="L457" s="2"/>
    </row>
    <row r="458" spans="2:12" ht="12.75" x14ac:dyDescent="0.2">
      <c r="B458" s="5"/>
      <c r="E458" s="5"/>
      <c r="G458" s="5"/>
      <c r="I458" s="5"/>
      <c r="K458" s="5"/>
      <c r="L458" s="2"/>
    </row>
    <row r="459" spans="2:12" ht="12.75" x14ac:dyDescent="0.2">
      <c r="B459" s="5"/>
      <c r="E459" s="5"/>
      <c r="G459" s="5"/>
      <c r="I459" s="5"/>
      <c r="K459" s="5"/>
      <c r="L459" s="2"/>
    </row>
    <row r="460" spans="2:12" ht="12.75" x14ac:dyDescent="0.2">
      <c r="B460" s="5"/>
      <c r="E460" s="5"/>
      <c r="G460" s="5"/>
      <c r="I460" s="5"/>
      <c r="K460" s="5"/>
      <c r="L460" s="2"/>
    </row>
    <row r="461" spans="2:12" ht="12.75" x14ac:dyDescent="0.2">
      <c r="B461" s="5"/>
      <c r="E461" s="5"/>
      <c r="G461" s="5"/>
      <c r="I461" s="5"/>
      <c r="K461" s="5"/>
      <c r="L461" s="2"/>
    </row>
    <row r="462" spans="2:12" ht="12.75" x14ac:dyDescent="0.2">
      <c r="B462" s="5"/>
      <c r="E462" s="5"/>
      <c r="G462" s="5"/>
      <c r="I462" s="5"/>
      <c r="K462" s="5"/>
      <c r="L462" s="2"/>
    </row>
    <row r="463" spans="2:12" ht="12.75" x14ac:dyDescent="0.2">
      <c r="B463" s="5"/>
      <c r="E463" s="5"/>
      <c r="G463" s="5"/>
      <c r="I463" s="5"/>
      <c r="K463" s="5"/>
      <c r="L463" s="2"/>
    </row>
    <row r="464" spans="2:12" ht="12.75" x14ac:dyDescent="0.2">
      <c r="B464" s="5"/>
      <c r="E464" s="5"/>
      <c r="G464" s="5"/>
      <c r="I464" s="5"/>
      <c r="K464" s="5"/>
      <c r="L464" s="2"/>
    </row>
    <row r="465" spans="2:12" ht="12.75" x14ac:dyDescent="0.2">
      <c r="B465" s="5"/>
      <c r="E465" s="5"/>
      <c r="G465" s="5"/>
      <c r="I465" s="5"/>
      <c r="K465" s="5"/>
      <c r="L465" s="2"/>
    </row>
    <row r="466" spans="2:12" ht="12.75" x14ac:dyDescent="0.2">
      <c r="B466" s="5"/>
      <c r="E466" s="5"/>
      <c r="G466" s="5"/>
      <c r="I466" s="5"/>
      <c r="K466" s="5"/>
      <c r="L466" s="2"/>
    </row>
    <row r="467" spans="2:12" ht="12.75" x14ac:dyDescent="0.2">
      <c r="B467" s="5"/>
      <c r="E467" s="5"/>
      <c r="G467" s="5"/>
      <c r="I467" s="5"/>
      <c r="K467" s="5"/>
      <c r="L467" s="2"/>
    </row>
    <row r="468" spans="2:12" ht="12.75" x14ac:dyDescent="0.2">
      <c r="B468" s="5"/>
      <c r="E468" s="5"/>
      <c r="G468" s="5"/>
      <c r="I468" s="5"/>
      <c r="K468" s="5"/>
      <c r="L468" s="2"/>
    </row>
    <row r="469" spans="2:12" ht="12.75" x14ac:dyDescent="0.2">
      <c r="B469" s="5"/>
      <c r="E469" s="5"/>
      <c r="G469" s="5"/>
      <c r="I469" s="5"/>
      <c r="K469" s="5"/>
      <c r="L469" s="2"/>
    </row>
    <row r="470" spans="2:12" ht="12.75" x14ac:dyDescent="0.2">
      <c r="B470" s="5"/>
      <c r="E470" s="5"/>
      <c r="G470" s="5"/>
      <c r="I470" s="5"/>
      <c r="K470" s="5"/>
      <c r="L470" s="2"/>
    </row>
    <row r="471" spans="2:12" ht="12.75" x14ac:dyDescent="0.2">
      <c r="B471" s="5"/>
      <c r="E471" s="5"/>
      <c r="G471" s="5"/>
      <c r="I471" s="5"/>
      <c r="K471" s="5"/>
      <c r="L471" s="2"/>
    </row>
    <row r="472" spans="2:12" ht="12.75" x14ac:dyDescent="0.2">
      <c r="B472" s="5"/>
      <c r="E472" s="5"/>
      <c r="G472" s="5"/>
      <c r="I472" s="5"/>
      <c r="K472" s="5"/>
      <c r="L472" s="2"/>
    </row>
    <row r="473" spans="2:12" ht="12.75" x14ac:dyDescent="0.2">
      <c r="B473" s="5"/>
      <c r="E473" s="5"/>
      <c r="G473" s="5"/>
      <c r="I473" s="5"/>
      <c r="K473" s="5"/>
      <c r="L473" s="2"/>
    </row>
    <row r="474" spans="2:12" ht="12.75" x14ac:dyDescent="0.2">
      <c r="B474" s="5"/>
      <c r="E474" s="5"/>
      <c r="G474" s="5"/>
      <c r="I474" s="5"/>
      <c r="K474" s="5"/>
      <c r="L474" s="2"/>
    </row>
    <row r="475" spans="2:12" ht="12.75" x14ac:dyDescent="0.2">
      <c r="B475" s="5"/>
      <c r="E475" s="5"/>
      <c r="G475" s="5"/>
      <c r="I475" s="5"/>
      <c r="K475" s="5"/>
      <c r="L475" s="2"/>
    </row>
    <row r="476" spans="2:12" ht="12.75" x14ac:dyDescent="0.2">
      <c r="B476" s="5"/>
      <c r="E476" s="5"/>
      <c r="G476" s="5"/>
      <c r="I476" s="5"/>
      <c r="K476" s="5"/>
      <c r="L476" s="2"/>
    </row>
    <row r="477" spans="2:12" ht="12.75" x14ac:dyDescent="0.2">
      <c r="B477" s="5"/>
      <c r="E477" s="5"/>
      <c r="G477" s="5"/>
      <c r="I477" s="5"/>
      <c r="K477" s="5"/>
      <c r="L477" s="2"/>
    </row>
    <row r="478" spans="2:12" ht="12.75" x14ac:dyDescent="0.2">
      <c r="B478" s="5"/>
      <c r="E478" s="5"/>
      <c r="G478" s="5"/>
      <c r="I478" s="5"/>
      <c r="K478" s="5"/>
      <c r="L478" s="2"/>
    </row>
    <row r="479" spans="2:12" ht="12.75" x14ac:dyDescent="0.2">
      <c r="B479" s="5"/>
      <c r="E479" s="5"/>
      <c r="G479" s="5"/>
      <c r="I479" s="5"/>
      <c r="K479" s="5"/>
      <c r="L479" s="2"/>
    </row>
    <row r="480" spans="2:12" ht="12.75" x14ac:dyDescent="0.2">
      <c r="B480" s="5"/>
      <c r="E480" s="5"/>
      <c r="G480" s="5"/>
      <c r="I480" s="5"/>
      <c r="K480" s="5"/>
      <c r="L480" s="2"/>
    </row>
    <row r="481" spans="2:12" ht="12.75" x14ac:dyDescent="0.2">
      <c r="B481" s="5"/>
      <c r="E481" s="5"/>
      <c r="G481" s="5"/>
      <c r="I481" s="5"/>
      <c r="K481" s="5"/>
      <c r="L481" s="2"/>
    </row>
    <row r="482" spans="2:12" ht="12.75" x14ac:dyDescent="0.2">
      <c r="B482" s="5"/>
      <c r="E482" s="5"/>
      <c r="G482" s="5"/>
      <c r="I482" s="5"/>
      <c r="K482" s="5"/>
      <c r="L482" s="2"/>
    </row>
    <row r="483" spans="2:12" ht="12.75" x14ac:dyDescent="0.2">
      <c r="B483" s="5"/>
      <c r="E483" s="5"/>
      <c r="G483" s="5"/>
      <c r="I483" s="5"/>
      <c r="K483" s="5"/>
      <c r="L483" s="2"/>
    </row>
    <row r="484" spans="2:12" ht="12.75" x14ac:dyDescent="0.2">
      <c r="B484" s="5"/>
      <c r="E484" s="5"/>
      <c r="G484" s="5"/>
      <c r="I484" s="5"/>
      <c r="K484" s="5"/>
      <c r="L484" s="2"/>
    </row>
    <row r="485" spans="2:12" ht="12.75" x14ac:dyDescent="0.2">
      <c r="B485" s="5"/>
      <c r="E485" s="5"/>
      <c r="G485" s="5"/>
      <c r="I485" s="5"/>
      <c r="K485" s="5"/>
      <c r="L485" s="2"/>
    </row>
    <row r="486" spans="2:12" ht="12.75" x14ac:dyDescent="0.2">
      <c r="B486" s="5"/>
      <c r="E486" s="5"/>
      <c r="G486" s="5"/>
      <c r="I486" s="5"/>
      <c r="K486" s="5"/>
      <c r="L486" s="2"/>
    </row>
    <row r="487" spans="2:12" ht="12.75" x14ac:dyDescent="0.2">
      <c r="B487" s="5"/>
      <c r="E487" s="5"/>
      <c r="G487" s="5"/>
      <c r="I487" s="5"/>
      <c r="K487" s="5"/>
      <c r="L487" s="2"/>
    </row>
    <row r="488" spans="2:12" ht="12.75" x14ac:dyDescent="0.2">
      <c r="B488" s="5"/>
      <c r="E488" s="5"/>
      <c r="G488" s="5"/>
      <c r="I488" s="5"/>
      <c r="K488" s="5"/>
      <c r="L488" s="2"/>
    </row>
    <row r="489" spans="2:12" ht="12.75" x14ac:dyDescent="0.2">
      <c r="B489" s="5"/>
      <c r="E489" s="5"/>
      <c r="G489" s="5"/>
      <c r="I489" s="5"/>
      <c r="K489" s="5"/>
      <c r="L489" s="2"/>
    </row>
    <row r="490" spans="2:12" ht="12.75" x14ac:dyDescent="0.2">
      <c r="B490" s="5"/>
      <c r="E490" s="5"/>
      <c r="G490" s="5"/>
      <c r="I490" s="5"/>
      <c r="K490" s="5"/>
      <c r="L490" s="2"/>
    </row>
    <row r="491" spans="2:12" ht="12.75" x14ac:dyDescent="0.2">
      <c r="B491" s="5"/>
      <c r="E491" s="5"/>
      <c r="G491" s="5"/>
      <c r="I491" s="5"/>
      <c r="K491" s="5"/>
      <c r="L491" s="2"/>
    </row>
    <row r="492" spans="2:12" ht="12.75" x14ac:dyDescent="0.2">
      <c r="B492" s="5"/>
      <c r="E492" s="5"/>
      <c r="G492" s="5"/>
      <c r="I492" s="5"/>
      <c r="K492" s="5"/>
      <c r="L492" s="2"/>
    </row>
    <row r="493" spans="2:12" ht="12.75" x14ac:dyDescent="0.2">
      <c r="B493" s="5"/>
      <c r="E493" s="5"/>
      <c r="G493" s="5"/>
      <c r="I493" s="5"/>
      <c r="K493" s="5"/>
      <c r="L493" s="2"/>
    </row>
    <row r="494" spans="2:12" ht="12.75" x14ac:dyDescent="0.2">
      <c r="B494" s="5"/>
      <c r="E494" s="5"/>
      <c r="G494" s="5"/>
      <c r="I494" s="5"/>
      <c r="K494" s="5"/>
      <c r="L494" s="2"/>
    </row>
    <row r="495" spans="2:12" ht="12.75" x14ac:dyDescent="0.2">
      <c r="B495" s="5"/>
      <c r="E495" s="5"/>
      <c r="G495" s="5"/>
      <c r="I495" s="5"/>
      <c r="K495" s="5"/>
      <c r="L495" s="2"/>
    </row>
    <row r="496" spans="2:12" ht="12.75" x14ac:dyDescent="0.2">
      <c r="B496" s="5"/>
      <c r="E496" s="5"/>
      <c r="G496" s="5"/>
      <c r="I496" s="5"/>
      <c r="K496" s="5"/>
      <c r="L496" s="2"/>
    </row>
    <row r="497" spans="2:12" ht="12.75" x14ac:dyDescent="0.2">
      <c r="B497" s="5"/>
      <c r="E497" s="5"/>
      <c r="G497" s="5"/>
      <c r="I497" s="5"/>
      <c r="K497" s="5"/>
      <c r="L497" s="2"/>
    </row>
    <row r="498" spans="2:12" ht="12.75" x14ac:dyDescent="0.2">
      <c r="B498" s="5"/>
      <c r="E498" s="5"/>
      <c r="G498" s="5"/>
      <c r="I498" s="5"/>
      <c r="K498" s="5"/>
      <c r="L498" s="2"/>
    </row>
    <row r="499" spans="2:12" ht="12.75" x14ac:dyDescent="0.2">
      <c r="B499" s="5"/>
      <c r="E499" s="5"/>
      <c r="G499" s="5"/>
      <c r="I499" s="5"/>
      <c r="K499" s="5"/>
      <c r="L499" s="2"/>
    </row>
    <row r="500" spans="2:12" ht="12.75" x14ac:dyDescent="0.2">
      <c r="B500" s="5"/>
      <c r="E500" s="5"/>
      <c r="G500" s="5"/>
      <c r="I500" s="5"/>
      <c r="K500" s="5"/>
      <c r="L500" s="2"/>
    </row>
    <row r="501" spans="2:12" ht="12.75" x14ac:dyDescent="0.2">
      <c r="B501" s="5"/>
      <c r="E501" s="5"/>
      <c r="G501" s="5"/>
      <c r="I501" s="5"/>
      <c r="K501" s="5"/>
      <c r="L501" s="2"/>
    </row>
    <row r="502" spans="2:12" ht="12.75" x14ac:dyDescent="0.2">
      <c r="B502" s="5"/>
      <c r="E502" s="5"/>
      <c r="G502" s="5"/>
      <c r="I502" s="5"/>
      <c r="K502" s="5"/>
      <c r="L502" s="2"/>
    </row>
    <row r="503" spans="2:12" ht="12.75" x14ac:dyDescent="0.2">
      <c r="B503" s="5"/>
      <c r="E503" s="5"/>
      <c r="G503" s="5"/>
      <c r="I503" s="5"/>
      <c r="K503" s="5"/>
      <c r="L503" s="2"/>
    </row>
    <row r="504" spans="2:12" ht="12.75" x14ac:dyDescent="0.2">
      <c r="B504" s="5"/>
      <c r="E504" s="5"/>
      <c r="G504" s="5"/>
      <c r="I504" s="5"/>
      <c r="K504" s="5"/>
      <c r="L504" s="2"/>
    </row>
    <row r="505" spans="2:12" ht="12.75" x14ac:dyDescent="0.2">
      <c r="B505" s="5"/>
      <c r="E505" s="5"/>
      <c r="G505" s="5"/>
      <c r="I505" s="5"/>
      <c r="K505" s="5"/>
      <c r="L505" s="2"/>
    </row>
    <row r="506" spans="2:12" ht="12.75" x14ac:dyDescent="0.2">
      <c r="B506" s="5"/>
      <c r="E506" s="5"/>
      <c r="G506" s="5"/>
      <c r="I506" s="5"/>
      <c r="K506" s="5"/>
      <c r="L506" s="2"/>
    </row>
    <row r="507" spans="2:12" ht="12.75" x14ac:dyDescent="0.2">
      <c r="B507" s="5"/>
      <c r="E507" s="5"/>
      <c r="G507" s="5"/>
      <c r="I507" s="5"/>
      <c r="K507" s="5"/>
      <c r="L507" s="2"/>
    </row>
    <row r="508" spans="2:12" ht="12.75" x14ac:dyDescent="0.2">
      <c r="B508" s="5"/>
      <c r="E508" s="5"/>
      <c r="G508" s="5"/>
      <c r="I508" s="5"/>
      <c r="K508" s="5"/>
      <c r="L508" s="2"/>
    </row>
    <row r="509" spans="2:12" ht="12.75" x14ac:dyDescent="0.2">
      <c r="B509" s="5"/>
      <c r="E509" s="5"/>
      <c r="G509" s="5"/>
      <c r="I509" s="5"/>
      <c r="K509" s="5"/>
      <c r="L509" s="2"/>
    </row>
    <row r="510" spans="2:12" ht="12.75" x14ac:dyDescent="0.2">
      <c r="B510" s="5"/>
      <c r="E510" s="5"/>
      <c r="G510" s="5"/>
      <c r="I510" s="5"/>
      <c r="K510" s="5"/>
      <c r="L510" s="2"/>
    </row>
    <row r="511" spans="2:12" ht="12.75" x14ac:dyDescent="0.2">
      <c r="B511" s="5"/>
      <c r="E511" s="5"/>
      <c r="G511" s="5"/>
      <c r="I511" s="5"/>
      <c r="K511" s="5"/>
      <c r="L511" s="2"/>
    </row>
    <row r="512" spans="2:12" ht="12.75" x14ac:dyDescent="0.2">
      <c r="B512" s="5"/>
      <c r="E512" s="5"/>
      <c r="G512" s="5"/>
      <c r="I512" s="5"/>
      <c r="K512" s="5"/>
      <c r="L512" s="2"/>
    </row>
    <row r="513" spans="2:12" ht="12.75" x14ac:dyDescent="0.2">
      <c r="B513" s="5"/>
      <c r="E513" s="5"/>
      <c r="G513" s="5"/>
      <c r="I513" s="5"/>
      <c r="K513" s="5"/>
      <c r="L513" s="2"/>
    </row>
    <row r="514" spans="2:12" ht="12.75" x14ac:dyDescent="0.2">
      <c r="B514" s="5"/>
      <c r="E514" s="5"/>
      <c r="G514" s="5"/>
      <c r="I514" s="5"/>
      <c r="K514" s="5"/>
      <c r="L514" s="2"/>
    </row>
    <row r="515" spans="2:12" ht="12.75" x14ac:dyDescent="0.2">
      <c r="B515" s="5"/>
      <c r="E515" s="5"/>
      <c r="G515" s="5"/>
      <c r="I515" s="5"/>
      <c r="K515" s="5"/>
      <c r="L515" s="2"/>
    </row>
    <row r="516" spans="2:12" ht="12.75" x14ac:dyDescent="0.2">
      <c r="B516" s="5"/>
      <c r="E516" s="5"/>
      <c r="G516" s="5"/>
      <c r="I516" s="5"/>
      <c r="K516" s="5"/>
      <c r="L516" s="2"/>
    </row>
    <row r="517" spans="2:12" ht="12.75" x14ac:dyDescent="0.2">
      <c r="B517" s="5"/>
      <c r="E517" s="5"/>
      <c r="G517" s="5"/>
      <c r="I517" s="5"/>
      <c r="K517" s="5"/>
      <c r="L517" s="2"/>
    </row>
    <row r="518" spans="2:12" ht="12.75" x14ac:dyDescent="0.2">
      <c r="B518" s="5"/>
      <c r="E518" s="5"/>
      <c r="G518" s="5"/>
      <c r="I518" s="5"/>
      <c r="K518" s="5"/>
      <c r="L518" s="2"/>
    </row>
    <row r="519" spans="2:12" ht="12.75" x14ac:dyDescent="0.2">
      <c r="B519" s="5"/>
      <c r="E519" s="5"/>
      <c r="G519" s="5"/>
      <c r="I519" s="5"/>
      <c r="K519" s="5"/>
      <c r="L519" s="2"/>
    </row>
    <row r="520" spans="2:12" ht="12.75" x14ac:dyDescent="0.2">
      <c r="B520" s="5"/>
      <c r="E520" s="5"/>
      <c r="G520" s="5"/>
      <c r="I520" s="5"/>
      <c r="K520" s="5"/>
      <c r="L520" s="2"/>
    </row>
    <row r="521" spans="2:12" ht="12.75" x14ac:dyDescent="0.2">
      <c r="B521" s="5"/>
      <c r="E521" s="5"/>
      <c r="G521" s="5"/>
      <c r="I521" s="5"/>
      <c r="K521" s="5"/>
      <c r="L521" s="2"/>
    </row>
    <row r="522" spans="2:12" ht="12.75" x14ac:dyDescent="0.2">
      <c r="B522" s="5"/>
      <c r="E522" s="5"/>
      <c r="G522" s="5"/>
      <c r="I522" s="5"/>
      <c r="K522" s="5"/>
      <c r="L522" s="2"/>
    </row>
    <row r="523" spans="2:12" ht="12.75" x14ac:dyDescent="0.2">
      <c r="B523" s="5"/>
      <c r="E523" s="5"/>
      <c r="G523" s="5"/>
      <c r="I523" s="5"/>
      <c r="K523" s="5"/>
      <c r="L523" s="2"/>
    </row>
    <row r="524" spans="2:12" ht="12.75" x14ac:dyDescent="0.2">
      <c r="B524" s="5"/>
      <c r="E524" s="5"/>
      <c r="G524" s="5"/>
      <c r="I524" s="5"/>
      <c r="K524" s="5"/>
      <c r="L524" s="2"/>
    </row>
    <row r="525" spans="2:12" ht="12.75" x14ac:dyDescent="0.2">
      <c r="B525" s="5"/>
      <c r="E525" s="5"/>
      <c r="G525" s="5"/>
      <c r="I525" s="5"/>
      <c r="K525" s="5"/>
      <c r="L525" s="2"/>
    </row>
    <row r="526" spans="2:12" ht="12.75" x14ac:dyDescent="0.2">
      <c r="B526" s="5"/>
      <c r="E526" s="5"/>
      <c r="G526" s="5"/>
      <c r="I526" s="5"/>
      <c r="K526" s="5"/>
      <c r="L526" s="2"/>
    </row>
    <row r="527" spans="2:12" ht="12.75" x14ac:dyDescent="0.2">
      <c r="B527" s="5"/>
      <c r="E527" s="5"/>
      <c r="G527" s="5"/>
      <c r="I527" s="5"/>
      <c r="K527" s="5"/>
      <c r="L527" s="2"/>
    </row>
    <row r="528" spans="2:12" ht="12.75" x14ac:dyDescent="0.2">
      <c r="B528" s="5"/>
      <c r="E528" s="5"/>
      <c r="G528" s="5"/>
      <c r="I528" s="5"/>
      <c r="K528" s="5"/>
      <c r="L528" s="2"/>
    </row>
    <row r="529" spans="2:12" ht="12.75" x14ac:dyDescent="0.2">
      <c r="B529" s="5"/>
      <c r="E529" s="5"/>
      <c r="G529" s="5"/>
      <c r="I529" s="5"/>
      <c r="K529" s="5"/>
      <c r="L529" s="2"/>
    </row>
    <row r="530" spans="2:12" ht="12.75" x14ac:dyDescent="0.2">
      <c r="B530" s="5"/>
      <c r="E530" s="5"/>
      <c r="G530" s="5"/>
      <c r="I530" s="5"/>
      <c r="K530" s="5"/>
      <c r="L530" s="2"/>
    </row>
    <row r="531" spans="2:12" ht="12.75" x14ac:dyDescent="0.2">
      <c r="B531" s="5"/>
      <c r="E531" s="5"/>
      <c r="G531" s="5"/>
      <c r="I531" s="5"/>
      <c r="K531" s="5"/>
      <c r="L531" s="2"/>
    </row>
    <row r="532" spans="2:12" ht="12.75" x14ac:dyDescent="0.2">
      <c r="B532" s="5"/>
      <c r="E532" s="5"/>
      <c r="G532" s="5"/>
      <c r="I532" s="5"/>
      <c r="K532" s="5"/>
      <c r="L532" s="2"/>
    </row>
    <row r="533" spans="2:12" ht="12.75" x14ac:dyDescent="0.2">
      <c r="B533" s="5"/>
      <c r="E533" s="5"/>
      <c r="G533" s="5"/>
      <c r="I533" s="5"/>
      <c r="K533" s="5"/>
      <c r="L533" s="2"/>
    </row>
    <row r="534" spans="2:12" ht="12.75" x14ac:dyDescent="0.2">
      <c r="B534" s="5"/>
      <c r="E534" s="5"/>
      <c r="G534" s="5"/>
      <c r="I534" s="5"/>
      <c r="K534" s="5"/>
      <c r="L534" s="2"/>
    </row>
    <row r="535" spans="2:12" ht="12.75" x14ac:dyDescent="0.2">
      <c r="B535" s="5"/>
      <c r="E535" s="5"/>
      <c r="G535" s="5"/>
      <c r="I535" s="5"/>
      <c r="K535" s="5"/>
      <c r="L535" s="2"/>
    </row>
    <row r="536" spans="2:12" ht="12.75" x14ac:dyDescent="0.2">
      <c r="B536" s="5"/>
      <c r="E536" s="5"/>
      <c r="G536" s="5"/>
      <c r="I536" s="5"/>
      <c r="K536" s="5"/>
      <c r="L536" s="2"/>
    </row>
    <row r="537" spans="2:12" ht="12.75" x14ac:dyDescent="0.2">
      <c r="B537" s="5"/>
      <c r="E537" s="5"/>
      <c r="G537" s="5"/>
      <c r="I537" s="5"/>
      <c r="K537" s="5"/>
      <c r="L537" s="2"/>
    </row>
    <row r="538" spans="2:12" ht="12.75" x14ac:dyDescent="0.2">
      <c r="B538" s="5"/>
      <c r="E538" s="5"/>
      <c r="G538" s="5"/>
      <c r="I538" s="5"/>
      <c r="K538" s="5"/>
      <c r="L538" s="2"/>
    </row>
    <row r="539" spans="2:12" ht="12.75" x14ac:dyDescent="0.2">
      <c r="B539" s="5"/>
      <c r="E539" s="5"/>
      <c r="G539" s="5"/>
      <c r="I539" s="5"/>
      <c r="K539" s="5"/>
      <c r="L539" s="2"/>
    </row>
    <row r="540" spans="2:12" ht="12.75" x14ac:dyDescent="0.2">
      <c r="B540" s="5"/>
      <c r="E540" s="5"/>
      <c r="G540" s="5"/>
      <c r="I540" s="5"/>
      <c r="K540" s="5"/>
      <c r="L540" s="2"/>
    </row>
    <row r="541" spans="2:12" ht="12.75" x14ac:dyDescent="0.2">
      <c r="B541" s="5"/>
      <c r="E541" s="5"/>
      <c r="G541" s="5"/>
      <c r="I541" s="5"/>
      <c r="K541" s="5"/>
      <c r="L541" s="2"/>
    </row>
    <row r="542" spans="2:12" ht="12.75" x14ac:dyDescent="0.2">
      <c r="B542" s="5"/>
      <c r="E542" s="5"/>
      <c r="G542" s="5"/>
      <c r="I542" s="5"/>
      <c r="K542" s="5"/>
      <c r="L542" s="2"/>
    </row>
    <row r="543" spans="2:12" ht="12.75" x14ac:dyDescent="0.2">
      <c r="B543" s="5"/>
      <c r="E543" s="5"/>
      <c r="G543" s="5"/>
      <c r="I543" s="5"/>
      <c r="K543" s="5"/>
      <c r="L543" s="2"/>
    </row>
    <row r="544" spans="2:12" ht="12.75" x14ac:dyDescent="0.2">
      <c r="B544" s="5"/>
      <c r="E544" s="5"/>
      <c r="G544" s="5"/>
      <c r="I544" s="5"/>
      <c r="K544" s="5"/>
      <c r="L544" s="2"/>
    </row>
    <row r="545" spans="2:12" ht="12.75" x14ac:dyDescent="0.2">
      <c r="B545" s="5"/>
      <c r="E545" s="5"/>
      <c r="G545" s="5"/>
      <c r="I545" s="5"/>
      <c r="K545" s="5"/>
      <c r="L545" s="2"/>
    </row>
    <row r="546" spans="2:12" ht="12.75" x14ac:dyDescent="0.2">
      <c r="B546" s="5"/>
      <c r="E546" s="5"/>
      <c r="G546" s="5"/>
      <c r="I546" s="5"/>
      <c r="K546" s="5"/>
      <c r="L546" s="2"/>
    </row>
    <row r="547" spans="2:12" ht="12.75" x14ac:dyDescent="0.2">
      <c r="B547" s="5"/>
      <c r="E547" s="5"/>
      <c r="G547" s="5"/>
      <c r="I547" s="5"/>
      <c r="K547" s="5"/>
      <c r="L547" s="2"/>
    </row>
    <row r="548" spans="2:12" ht="12.75" x14ac:dyDescent="0.2">
      <c r="B548" s="5"/>
      <c r="E548" s="5"/>
      <c r="G548" s="5"/>
      <c r="I548" s="5"/>
      <c r="K548" s="5"/>
      <c r="L548" s="2"/>
    </row>
    <row r="549" spans="2:12" ht="12.75" x14ac:dyDescent="0.2">
      <c r="B549" s="5"/>
      <c r="E549" s="5"/>
      <c r="G549" s="5"/>
      <c r="I549" s="5"/>
      <c r="K549" s="5"/>
      <c r="L549" s="2"/>
    </row>
    <row r="550" spans="2:12" ht="12.75" x14ac:dyDescent="0.2">
      <c r="B550" s="5"/>
      <c r="E550" s="5"/>
      <c r="G550" s="5"/>
      <c r="I550" s="5"/>
      <c r="K550" s="5"/>
      <c r="L550" s="2"/>
    </row>
    <row r="551" spans="2:12" ht="12.75" x14ac:dyDescent="0.2">
      <c r="B551" s="5"/>
      <c r="E551" s="5"/>
      <c r="G551" s="5"/>
      <c r="I551" s="5"/>
      <c r="K551" s="5"/>
      <c r="L551" s="2"/>
    </row>
    <row r="552" spans="2:12" ht="12.75" x14ac:dyDescent="0.2">
      <c r="B552" s="5"/>
      <c r="E552" s="5"/>
      <c r="G552" s="5"/>
      <c r="I552" s="5"/>
      <c r="K552" s="5"/>
      <c r="L552" s="2"/>
    </row>
    <row r="553" spans="2:12" ht="12.75" x14ac:dyDescent="0.2">
      <c r="B553" s="5"/>
      <c r="E553" s="5"/>
      <c r="G553" s="5"/>
      <c r="I553" s="5"/>
      <c r="K553" s="5"/>
      <c r="L553" s="2"/>
    </row>
    <row r="554" spans="2:12" ht="12.75" x14ac:dyDescent="0.2">
      <c r="B554" s="5"/>
      <c r="E554" s="5"/>
      <c r="G554" s="5"/>
      <c r="I554" s="5"/>
      <c r="K554" s="5"/>
      <c r="L554" s="2"/>
    </row>
    <row r="555" spans="2:12" ht="12.75" x14ac:dyDescent="0.2">
      <c r="B555" s="5"/>
      <c r="E555" s="5"/>
      <c r="G555" s="5"/>
      <c r="I555" s="5"/>
      <c r="K555" s="5"/>
      <c r="L555" s="2"/>
    </row>
    <row r="556" spans="2:12" ht="12.75" x14ac:dyDescent="0.2">
      <c r="B556" s="5"/>
      <c r="E556" s="5"/>
      <c r="G556" s="5"/>
      <c r="I556" s="5"/>
      <c r="K556" s="5"/>
      <c r="L556" s="2"/>
    </row>
    <row r="557" spans="2:12" ht="12.75" x14ac:dyDescent="0.2">
      <c r="B557" s="5"/>
      <c r="E557" s="5"/>
      <c r="G557" s="5"/>
      <c r="I557" s="5"/>
      <c r="K557" s="5"/>
      <c r="L557" s="2"/>
    </row>
    <row r="558" spans="2:12" ht="12.75" x14ac:dyDescent="0.2">
      <c r="B558" s="5"/>
      <c r="E558" s="5"/>
      <c r="G558" s="5"/>
      <c r="I558" s="5"/>
      <c r="K558" s="5"/>
      <c r="L558" s="2"/>
    </row>
    <row r="559" spans="2:12" ht="12.75" x14ac:dyDescent="0.2">
      <c r="B559" s="5"/>
      <c r="E559" s="5"/>
      <c r="G559" s="5"/>
      <c r="I559" s="5"/>
      <c r="K559" s="5"/>
      <c r="L559" s="2"/>
    </row>
    <row r="560" spans="2:12" ht="12.75" x14ac:dyDescent="0.2">
      <c r="B560" s="5"/>
      <c r="E560" s="5"/>
      <c r="G560" s="5"/>
      <c r="I560" s="5"/>
      <c r="K560" s="5"/>
      <c r="L560" s="2"/>
    </row>
    <row r="561" spans="2:12" ht="12.75" x14ac:dyDescent="0.2">
      <c r="B561" s="5"/>
      <c r="E561" s="5"/>
      <c r="G561" s="5"/>
      <c r="I561" s="5"/>
      <c r="K561" s="5"/>
      <c r="L561" s="2"/>
    </row>
    <row r="562" spans="2:12" ht="12.75" x14ac:dyDescent="0.2">
      <c r="B562" s="5"/>
      <c r="E562" s="5"/>
      <c r="G562" s="5"/>
      <c r="I562" s="5"/>
      <c r="K562" s="5"/>
      <c r="L562" s="2"/>
    </row>
    <row r="563" spans="2:12" ht="12.75" x14ac:dyDescent="0.2">
      <c r="B563" s="5"/>
      <c r="E563" s="5"/>
      <c r="G563" s="5"/>
      <c r="I563" s="5"/>
      <c r="K563" s="5"/>
      <c r="L563" s="2"/>
    </row>
    <row r="564" spans="2:12" ht="12.75" x14ac:dyDescent="0.2">
      <c r="B564" s="5"/>
      <c r="E564" s="5"/>
      <c r="G564" s="5"/>
      <c r="I564" s="5"/>
      <c r="K564" s="5"/>
      <c r="L564" s="2"/>
    </row>
    <row r="565" spans="2:12" ht="12.75" x14ac:dyDescent="0.2">
      <c r="B565" s="5"/>
      <c r="E565" s="5"/>
      <c r="G565" s="5"/>
      <c r="I565" s="5"/>
      <c r="K565" s="5"/>
      <c r="L565" s="2"/>
    </row>
    <row r="566" spans="2:12" ht="12.75" x14ac:dyDescent="0.2">
      <c r="B566" s="5"/>
      <c r="E566" s="5"/>
      <c r="G566" s="5"/>
      <c r="I566" s="5"/>
      <c r="K566" s="5"/>
      <c r="L566" s="2"/>
    </row>
    <row r="567" spans="2:12" ht="12.75" x14ac:dyDescent="0.2">
      <c r="B567" s="5"/>
      <c r="E567" s="5"/>
      <c r="G567" s="5"/>
      <c r="I567" s="5"/>
      <c r="K567" s="5"/>
      <c r="L567" s="2"/>
    </row>
    <row r="568" spans="2:12" ht="12.75" x14ac:dyDescent="0.2">
      <c r="B568" s="5"/>
      <c r="E568" s="5"/>
      <c r="G568" s="5"/>
      <c r="I568" s="5"/>
      <c r="K568" s="5"/>
      <c r="L568" s="2"/>
    </row>
    <row r="569" spans="2:12" ht="12.75" x14ac:dyDescent="0.2">
      <c r="B569" s="5"/>
      <c r="E569" s="5"/>
      <c r="G569" s="5"/>
      <c r="I569" s="5"/>
      <c r="K569" s="5"/>
      <c r="L569" s="2"/>
    </row>
    <row r="570" spans="2:12" ht="12.75" x14ac:dyDescent="0.2">
      <c r="B570" s="5"/>
      <c r="E570" s="5"/>
      <c r="G570" s="5"/>
      <c r="I570" s="5"/>
      <c r="K570" s="5"/>
      <c r="L570" s="2"/>
    </row>
    <row r="571" spans="2:12" ht="12.75" x14ac:dyDescent="0.2">
      <c r="B571" s="5"/>
      <c r="E571" s="5"/>
      <c r="G571" s="5"/>
      <c r="I571" s="5"/>
      <c r="K571" s="5"/>
      <c r="L571" s="2"/>
    </row>
    <row r="572" spans="2:12" ht="12.75" x14ac:dyDescent="0.2">
      <c r="B572" s="5"/>
      <c r="E572" s="5"/>
      <c r="G572" s="5"/>
      <c r="I572" s="5"/>
      <c r="K572" s="5"/>
      <c r="L572" s="2"/>
    </row>
    <row r="573" spans="2:12" ht="12.75" x14ac:dyDescent="0.2">
      <c r="B573" s="5"/>
      <c r="E573" s="5"/>
      <c r="G573" s="5"/>
      <c r="I573" s="5"/>
      <c r="K573" s="5"/>
      <c r="L573" s="2"/>
    </row>
    <row r="574" spans="2:12" ht="12.75" x14ac:dyDescent="0.2">
      <c r="B574" s="5"/>
      <c r="E574" s="5"/>
      <c r="G574" s="5"/>
      <c r="I574" s="5"/>
      <c r="K574" s="5"/>
      <c r="L574" s="2"/>
    </row>
    <row r="575" spans="2:12" ht="12.75" x14ac:dyDescent="0.2">
      <c r="B575" s="5"/>
      <c r="E575" s="5"/>
      <c r="G575" s="5"/>
      <c r="I575" s="5"/>
      <c r="K575" s="5"/>
      <c r="L575" s="2"/>
    </row>
    <row r="576" spans="2:12" ht="12.75" x14ac:dyDescent="0.2">
      <c r="B576" s="5"/>
      <c r="E576" s="5"/>
      <c r="G576" s="5"/>
      <c r="I576" s="5"/>
      <c r="K576" s="5"/>
      <c r="L576" s="2"/>
    </row>
    <row r="577" spans="2:12" ht="12.75" x14ac:dyDescent="0.2">
      <c r="B577" s="5"/>
      <c r="E577" s="5"/>
      <c r="G577" s="5"/>
      <c r="I577" s="5"/>
      <c r="K577" s="5"/>
      <c r="L577" s="2"/>
    </row>
    <row r="578" spans="2:12" ht="12.75" x14ac:dyDescent="0.2">
      <c r="B578" s="5"/>
      <c r="E578" s="5"/>
      <c r="G578" s="5"/>
      <c r="I578" s="5"/>
      <c r="K578" s="5"/>
      <c r="L578" s="2"/>
    </row>
    <row r="579" spans="2:12" ht="12.75" x14ac:dyDescent="0.2">
      <c r="B579" s="5"/>
      <c r="E579" s="5"/>
      <c r="G579" s="5"/>
      <c r="I579" s="5"/>
      <c r="K579" s="5"/>
      <c r="L579" s="2"/>
    </row>
    <row r="580" spans="2:12" ht="12.75" x14ac:dyDescent="0.2">
      <c r="B580" s="5"/>
      <c r="E580" s="5"/>
      <c r="G580" s="5"/>
      <c r="I580" s="5"/>
      <c r="K580" s="5"/>
      <c r="L580" s="2"/>
    </row>
    <row r="581" spans="2:12" ht="12.75" x14ac:dyDescent="0.2">
      <c r="B581" s="5"/>
      <c r="E581" s="5"/>
      <c r="G581" s="5"/>
      <c r="I581" s="5"/>
      <c r="K581" s="5"/>
      <c r="L581" s="2"/>
    </row>
    <row r="582" spans="2:12" ht="12.75" x14ac:dyDescent="0.2">
      <c r="B582" s="5"/>
      <c r="E582" s="5"/>
      <c r="G582" s="5"/>
      <c r="I582" s="5"/>
      <c r="K582" s="5"/>
      <c r="L582" s="2"/>
    </row>
    <row r="583" spans="2:12" ht="12.75" x14ac:dyDescent="0.2">
      <c r="B583" s="5"/>
      <c r="E583" s="5"/>
      <c r="G583" s="5"/>
      <c r="I583" s="5"/>
      <c r="K583" s="5"/>
      <c r="L583" s="2"/>
    </row>
    <row r="584" spans="2:12" ht="12.75" x14ac:dyDescent="0.2">
      <c r="B584" s="5"/>
      <c r="E584" s="5"/>
      <c r="G584" s="5"/>
      <c r="I584" s="5"/>
      <c r="K584" s="5"/>
      <c r="L584" s="2"/>
    </row>
    <row r="585" spans="2:12" ht="12.75" x14ac:dyDescent="0.2">
      <c r="B585" s="5"/>
      <c r="E585" s="5"/>
      <c r="G585" s="5"/>
      <c r="I585" s="5"/>
      <c r="K585" s="5"/>
      <c r="L585" s="2"/>
    </row>
    <row r="586" spans="2:12" ht="12.75" x14ac:dyDescent="0.2">
      <c r="B586" s="5"/>
      <c r="E586" s="5"/>
      <c r="G586" s="5"/>
      <c r="I586" s="5"/>
      <c r="K586" s="5"/>
      <c r="L586" s="2"/>
    </row>
    <row r="587" spans="2:12" ht="12.75" x14ac:dyDescent="0.2">
      <c r="B587" s="5"/>
      <c r="E587" s="5"/>
      <c r="G587" s="5"/>
      <c r="I587" s="5"/>
      <c r="K587" s="5"/>
      <c r="L587" s="2"/>
    </row>
    <row r="588" spans="2:12" ht="12.75" x14ac:dyDescent="0.2">
      <c r="B588" s="5"/>
      <c r="E588" s="5"/>
      <c r="G588" s="5"/>
      <c r="I588" s="5"/>
      <c r="K588" s="5"/>
      <c r="L588" s="2"/>
    </row>
    <row r="589" spans="2:12" ht="12.75" x14ac:dyDescent="0.2">
      <c r="B589" s="5"/>
      <c r="E589" s="5"/>
      <c r="G589" s="5"/>
      <c r="I589" s="5"/>
      <c r="K589" s="5"/>
      <c r="L589" s="2"/>
    </row>
    <row r="590" spans="2:12" ht="12.75" x14ac:dyDescent="0.2">
      <c r="B590" s="5"/>
      <c r="E590" s="5"/>
      <c r="G590" s="5"/>
      <c r="I590" s="5"/>
      <c r="K590" s="5"/>
      <c r="L590" s="2"/>
    </row>
    <row r="591" spans="2:12" ht="12.75" x14ac:dyDescent="0.2">
      <c r="B591" s="5"/>
      <c r="E591" s="5"/>
      <c r="G591" s="5"/>
      <c r="I591" s="5"/>
      <c r="K591" s="5"/>
      <c r="L591" s="2"/>
    </row>
    <row r="592" spans="2:12" ht="12.75" x14ac:dyDescent="0.2">
      <c r="B592" s="5"/>
      <c r="E592" s="5"/>
      <c r="G592" s="5"/>
      <c r="I592" s="5"/>
      <c r="K592" s="5"/>
      <c r="L592" s="2"/>
    </row>
    <row r="593" spans="2:12" ht="12.75" x14ac:dyDescent="0.2">
      <c r="B593" s="5"/>
      <c r="E593" s="5"/>
      <c r="G593" s="5"/>
      <c r="I593" s="5"/>
      <c r="K593" s="5"/>
      <c r="L593" s="2"/>
    </row>
    <row r="594" spans="2:12" ht="12.75" x14ac:dyDescent="0.2">
      <c r="B594" s="5"/>
      <c r="E594" s="5"/>
      <c r="G594" s="5"/>
      <c r="I594" s="5"/>
      <c r="K594" s="5"/>
      <c r="L594" s="2"/>
    </row>
    <row r="595" spans="2:12" ht="12.75" x14ac:dyDescent="0.2">
      <c r="B595" s="5"/>
      <c r="E595" s="5"/>
      <c r="G595" s="5"/>
      <c r="I595" s="5"/>
      <c r="K595" s="5"/>
      <c r="L595" s="2"/>
    </row>
    <row r="596" spans="2:12" ht="12.75" x14ac:dyDescent="0.2">
      <c r="B596" s="5"/>
      <c r="E596" s="5"/>
      <c r="G596" s="5"/>
      <c r="I596" s="5"/>
      <c r="K596" s="5"/>
      <c r="L596" s="2"/>
    </row>
    <row r="597" spans="2:12" ht="12.75" x14ac:dyDescent="0.2">
      <c r="B597" s="5"/>
      <c r="E597" s="5"/>
      <c r="G597" s="5"/>
      <c r="I597" s="5"/>
      <c r="K597" s="5"/>
      <c r="L597" s="2"/>
    </row>
    <row r="598" spans="2:12" ht="12.75" x14ac:dyDescent="0.2">
      <c r="B598" s="5"/>
      <c r="E598" s="5"/>
      <c r="G598" s="5"/>
      <c r="I598" s="5"/>
      <c r="K598" s="5"/>
      <c r="L598" s="2"/>
    </row>
    <row r="599" spans="2:12" ht="12.75" x14ac:dyDescent="0.2">
      <c r="B599" s="5"/>
      <c r="E599" s="5"/>
      <c r="G599" s="5"/>
      <c r="I599" s="5"/>
      <c r="K599" s="5"/>
      <c r="L599" s="2"/>
    </row>
    <row r="600" spans="2:12" ht="12.75" x14ac:dyDescent="0.2">
      <c r="B600" s="5"/>
      <c r="E600" s="5"/>
      <c r="G600" s="5"/>
      <c r="I600" s="5"/>
      <c r="K600" s="5"/>
      <c r="L600" s="2"/>
    </row>
    <row r="601" spans="2:12" ht="12.75" x14ac:dyDescent="0.2">
      <c r="B601" s="5"/>
      <c r="E601" s="5"/>
      <c r="G601" s="5"/>
      <c r="I601" s="5"/>
      <c r="K601" s="5"/>
      <c r="L601" s="2"/>
    </row>
    <row r="602" spans="2:12" ht="12.75" x14ac:dyDescent="0.2">
      <c r="B602" s="5"/>
      <c r="E602" s="5"/>
      <c r="G602" s="5"/>
      <c r="I602" s="5"/>
      <c r="K602" s="5"/>
      <c r="L602" s="2"/>
    </row>
    <row r="603" spans="2:12" ht="12.75" x14ac:dyDescent="0.2">
      <c r="B603" s="5"/>
      <c r="E603" s="5"/>
      <c r="G603" s="5"/>
      <c r="I603" s="5"/>
      <c r="K603" s="5"/>
      <c r="L603" s="2"/>
    </row>
    <row r="604" spans="2:12" ht="12.75" x14ac:dyDescent="0.2">
      <c r="B604" s="5"/>
      <c r="E604" s="5"/>
      <c r="G604" s="5"/>
      <c r="I604" s="5"/>
      <c r="K604" s="5"/>
      <c r="L604" s="2"/>
    </row>
    <row r="605" spans="2:12" ht="12.75" x14ac:dyDescent="0.2">
      <c r="B605" s="5"/>
      <c r="E605" s="5"/>
      <c r="G605" s="5"/>
      <c r="I605" s="5"/>
      <c r="K605" s="5"/>
      <c r="L605" s="2"/>
    </row>
    <row r="606" spans="2:12" ht="12.75" x14ac:dyDescent="0.2">
      <c r="B606" s="5"/>
      <c r="E606" s="5"/>
      <c r="G606" s="5"/>
      <c r="I606" s="5"/>
      <c r="K606" s="5"/>
      <c r="L606" s="2"/>
    </row>
    <row r="607" spans="2:12" ht="12.75" x14ac:dyDescent="0.2">
      <c r="B607" s="5"/>
      <c r="E607" s="5"/>
      <c r="G607" s="5"/>
      <c r="I607" s="5"/>
      <c r="K607" s="5"/>
      <c r="L607" s="2"/>
    </row>
    <row r="608" spans="2:12" ht="12.75" x14ac:dyDescent="0.2">
      <c r="B608" s="5"/>
      <c r="E608" s="5"/>
      <c r="G608" s="5"/>
      <c r="I608" s="5"/>
      <c r="K608" s="5"/>
      <c r="L608" s="2"/>
    </row>
    <row r="609" spans="2:12" ht="12.75" x14ac:dyDescent="0.2">
      <c r="B609" s="5"/>
      <c r="E609" s="5"/>
      <c r="G609" s="5"/>
      <c r="I609" s="5"/>
      <c r="K609" s="5"/>
      <c r="L609" s="2"/>
    </row>
    <row r="610" spans="2:12" ht="12.75" x14ac:dyDescent="0.2">
      <c r="B610" s="5"/>
      <c r="E610" s="5"/>
      <c r="G610" s="5"/>
      <c r="I610" s="5"/>
      <c r="K610" s="5"/>
      <c r="L610" s="2"/>
    </row>
    <row r="611" spans="2:12" ht="12.75" x14ac:dyDescent="0.2">
      <c r="B611" s="5"/>
      <c r="E611" s="5"/>
      <c r="G611" s="5"/>
      <c r="I611" s="5"/>
      <c r="K611" s="5"/>
      <c r="L611" s="2"/>
    </row>
    <row r="612" spans="2:12" ht="12.75" x14ac:dyDescent="0.2">
      <c r="B612" s="5"/>
      <c r="E612" s="5"/>
      <c r="G612" s="5"/>
      <c r="I612" s="5"/>
      <c r="K612" s="5"/>
      <c r="L612" s="2"/>
    </row>
    <row r="613" spans="2:12" ht="12.75" x14ac:dyDescent="0.2">
      <c r="B613" s="5"/>
      <c r="E613" s="5"/>
      <c r="G613" s="5"/>
      <c r="I613" s="5"/>
      <c r="K613" s="5"/>
      <c r="L613" s="2"/>
    </row>
    <row r="614" spans="2:12" ht="12.75" x14ac:dyDescent="0.2">
      <c r="B614" s="5"/>
      <c r="E614" s="5"/>
      <c r="G614" s="5"/>
      <c r="I614" s="5"/>
      <c r="K614" s="5"/>
      <c r="L614" s="2"/>
    </row>
    <row r="615" spans="2:12" ht="12.75" x14ac:dyDescent="0.2">
      <c r="B615" s="5"/>
      <c r="E615" s="5"/>
      <c r="G615" s="5"/>
      <c r="I615" s="5"/>
      <c r="K615" s="5"/>
      <c r="L615" s="2"/>
    </row>
    <row r="616" spans="2:12" ht="12.75" x14ac:dyDescent="0.2">
      <c r="B616" s="5"/>
      <c r="E616" s="5"/>
      <c r="G616" s="5"/>
      <c r="I616" s="5"/>
      <c r="K616" s="5"/>
      <c r="L616" s="2"/>
    </row>
    <row r="617" spans="2:12" ht="12.75" x14ac:dyDescent="0.2">
      <c r="B617" s="5"/>
      <c r="E617" s="5"/>
      <c r="G617" s="5"/>
      <c r="I617" s="5"/>
      <c r="K617" s="5"/>
      <c r="L617" s="2"/>
    </row>
    <row r="618" spans="2:12" ht="12.75" x14ac:dyDescent="0.2">
      <c r="B618" s="5"/>
      <c r="E618" s="5"/>
      <c r="G618" s="5"/>
      <c r="I618" s="5"/>
      <c r="K618" s="5"/>
      <c r="L618" s="2"/>
    </row>
    <row r="619" spans="2:12" ht="12.75" x14ac:dyDescent="0.2">
      <c r="B619" s="5"/>
      <c r="E619" s="5"/>
      <c r="G619" s="5"/>
      <c r="I619" s="5"/>
      <c r="K619" s="5"/>
      <c r="L619" s="2"/>
    </row>
    <row r="620" spans="2:12" ht="12.75" x14ac:dyDescent="0.2">
      <c r="B620" s="5"/>
      <c r="E620" s="5"/>
      <c r="G620" s="5"/>
      <c r="I620" s="5"/>
      <c r="K620" s="5"/>
      <c r="L620" s="2"/>
    </row>
    <row r="621" spans="2:12" ht="12.75" x14ac:dyDescent="0.2">
      <c r="B621" s="5"/>
      <c r="E621" s="5"/>
      <c r="G621" s="5"/>
      <c r="I621" s="5"/>
      <c r="K621" s="5"/>
      <c r="L621" s="2"/>
    </row>
    <row r="622" spans="2:12" ht="12.75" x14ac:dyDescent="0.2">
      <c r="B622" s="5"/>
      <c r="E622" s="5"/>
      <c r="G622" s="5"/>
      <c r="I622" s="5"/>
      <c r="K622" s="5"/>
      <c r="L622" s="2"/>
    </row>
    <row r="623" spans="2:12" ht="12.75" x14ac:dyDescent="0.2">
      <c r="B623" s="5"/>
      <c r="E623" s="5"/>
      <c r="G623" s="5"/>
      <c r="I623" s="5"/>
      <c r="K623" s="5"/>
      <c r="L623" s="2"/>
    </row>
    <row r="624" spans="2:12" ht="12.75" x14ac:dyDescent="0.2">
      <c r="B624" s="5"/>
      <c r="E624" s="5"/>
      <c r="G624" s="5"/>
      <c r="I624" s="5"/>
      <c r="K624" s="5"/>
      <c r="L624" s="2"/>
    </row>
    <row r="625" spans="2:12" ht="12.75" x14ac:dyDescent="0.2">
      <c r="B625" s="5"/>
      <c r="E625" s="5"/>
      <c r="G625" s="5"/>
      <c r="I625" s="5"/>
      <c r="K625" s="5"/>
      <c r="L625" s="2"/>
    </row>
    <row r="626" spans="2:12" ht="12.75" x14ac:dyDescent="0.2">
      <c r="B626" s="5"/>
      <c r="E626" s="5"/>
      <c r="G626" s="5"/>
      <c r="I626" s="5"/>
      <c r="K626" s="5"/>
      <c r="L626" s="2"/>
    </row>
    <row r="627" spans="2:12" ht="12.75" x14ac:dyDescent="0.2">
      <c r="B627" s="5"/>
      <c r="E627" s="5"/>
      <c r="G627" s="5"/>
      <c r="I627" s="5"/>
      <c r="K627" s="5"/>
      <c r="L627" s="2"/>
    </row>
    <row r="628" spans="2:12" ht="12.75" x14ac:dyDescent="0.2">
      <c r="B628" s="5"/>
      <c r="E628" s="5"/>
      <c r="G628" s="5"/>
      <c r="I628" s="5"/>
      <c r="K628" s="5"/>
      <c r="L628" s="2"/>
    </row>
    <row r="629" spans="2:12" ht="12.75" x14ac:dyDescent="0.2">
      <c r="B629" s="5"/>
      <c r="E629" s="5"/>
      <c r="G629" s="5"/>
      <c r="I629" s="5"/>
      <c r="K629" s="5"/>
      <c r="L629" s="2"/>
    </row>
    <row r="630" spans="2:12" ht="12.75" x14ac:dyDescent="0.2">
      <c r="B630" s="5"/>
      <c r="E630" s="5"/>
      <c r="G630" s="5"/>
      <c r="I630" s="5"/>
      <c r="K630" s="5"/>
      <c r="L630" s="2"/>
    </row>
    <row r="631" spans="2:12" ht="12.75" x14ac:dyDescent="0.2">
      <c r="B631" s="5"/>
      <c r="E631" s="5"/>
      <c r="G631" s="5"/>
      <c r="I631" s="5"/>
      <c r="K631" s="5"/>
      <c r="L631" s="2"/>
    </row>
    <row r="632" spans="2:12" ht="12.75" x14ac:dyDescent="0.2">
      <c r="B632" s="5"/>
      <c r="E632" s="5"/>
      <c r="G632" s="5"/>
      <c r="I632" s="5"/>
      <c r="K632" s="5"/>
      <c r="L632" s="2"/>
    </row>
    <row r="633" spans="2:12" ht="12.75" x14ac:dyDescent="0.2">
      <c r="B633" s="5"/>
      <c r="E633" s="5"/>
      <c r="G633" s="5"/>
      <c r="I633" s="5"/>
      <c r="K633" s="5"/>
      <c r="L633" s="2"/>
    </row>
    <row r="634" spans="2:12" ht="12.75" x14ac:dyDescent="0.2">
      <c r="B634" s="5"/>
      <c r="E634" s="5"/>
      <c r="G634" s="5"/>
      <c r="I634" s="5"/>
      <c r="K634" s="5"/>
      <c r="L634" s="2"/>
    </row>
    <row r="635" spans="2:12" ht="12.75" x14ac:dyDescent="0.2">
      <c r="B635" s="5"/>
      <c r="E635" s="5"/>
      <c r="G635" s="5"/>
      <c r="I635" s="5"/>
      <c r="K635" s="5"/>
      <c r="L635" s="2"/>
    </row>
    <row r="636" spans="2:12" ht="12.75" x14ac:dyDescent="0.2">
      <c r="B636" s="5"/>
      <c r="E636" s="5"/>
      <c r="G636" s="5"/>
      <c r="I636" s="5"/>
      <c r="K636" s="5"/>
      <c r="L636" s="2"/>
    </row>
    <row r="637" spans="2:12" ht="12.75" x14ac:dyDescent="0.2">
      <c r="B637" s="5"/>
      <c r="E637" s="5"/>
      <c r="G637" s="5"/>
      <c r="I637" s="5"/>
      <c r="K637" s="5"/>
      <c r="L637" s="2"/>
    </row>
    <row r="638" spans="2:12" ht="12.75" x14ac:dyDescent="0.2">
      <c r="B638" s="5"/>
      <c r="E638" s="5"/>
      <c r="G638" s="5"/>
      <c r="I638" s="5"/>
      <c r="K638" s="5"/>
      <c r="L638" s="2"/>
    </row>
    <row r="639" spans="2:12" ht="12.75" x14ac:dyDescent="0.2">
      <c r="B639" s="5"/>
      <c r="E639" s="5"/>
      <c r="G639" s="5"/>
      <c r="I639" s="5"/>
      <c r="K639" s="5"/>
      <c r="L639" s="2"/>
    </row>
    <row r="640" spans="2:12" ht="12.75" x14ac:dyDescent="0.2">
      <c r="B640" s="5"/>
      <c r="E640" s="5"/>
      <c r="G640" s="5"/>
      <c r="I640" s="5"/>
      <c r="K640" s="5"/>
      <c r="L640" s="2"/>
    </row>
    <row r="641" spans="2:12" ht="12.75" x14ac:dyDescent="0.2">
      <c r="B641" s="5"/>
      <c r="E641" s="5"/>
      <c r="G641" s="5"/>
      <c r="I641" s="5"/>
      <c r="K641" s="5"/>
      <c r="L641" s="2"/>
    </row>
    <row r="642" spans="2:12" ht="12.75" x14ac:dyDescent="0.2">
      <c r="B642" s="5"/>
      <c r="E642" s="5"/>
      <c r="G642" s="5"/>
      <c r="I642" s="5"/>
      <c r="K642" s="5"/>
      <c r="L642" s="2"/>
    </row>
    <row r="643" spans="2:12" ht="12.75" x14ac:dyDescent="0.2">
      <c r="B643" s="5"/>
      <c r="E643" s="5"/>
      <c r="G643" s="5"/>
      <c r="I643" s="5"/>
      <c r="K643" s="5"/>
      <c r="L643" s="2"/>
    </row>
    <row r="644" spans="2:12" ht="12.75" x14ac:dyDescent="0.2">
      <c r="B644" s="5"/>
      <c r="E644" s="5"/>
      <c r="G644" s="5"/>
      <c r="I644" s="5"/>
      <c r="K644" s="5"/>
      <c r="L644" s="2"/>
    </row>
    <row r="645" spans="2:12" ht="12.75" x14ac:dyDescent="0.2">
      <c r="B645" s="5"/>
      <c r="E645" s="5"/>
      <c r="G645" s="5"/>
      <c r="I645" s="5"/>
      <c r="K645" s="5"/>
      <c r="L645" s="2"/>
    </row>
    <row r="646" spans="2:12" ht="12.75" x14ac:dyDescent="0.2">
      <c r="B646" s="5"/>
      <c r="E646" s="5"/>
      <c r="G646" s="5"/>
      <c r="I646" s="5"/>
      <c r="K646" s="5"/>
      <c r="L646" s="2"/>
    </row>
    <row r="647" spans="2:12" ht="12.75" x14ac:dyDescent="0.2">
      <c r="B647" s="5"/>
      <c r="E647" s="5"/>
      <c r="G647" s="5"/>
      <c r="I647" s="5"/>
      <c r="K647" s="5"/>
      <c r="L647" s="2"/>
    </row>
    <row r="648" spans="2:12" ht="12.75" x14ac:dyDescent="0.2">
      <c r="B648" s="5"/>
      <c r="E648" s="5"/>
      <c r="G648" s="5"/>
      <c r="I648" s="5"/>
      <c r="K648" s="5"/>
      <c r="L648" s="2"/>
    </row>
    <row r="649" spans="2:12" ht="12.75" x14ac:dyDescent="0.2">
      <c r="B649" s="5"/>
      <c r="E649" s="5"/>
      <c r="G649" s="5"/>
      <c r="I649" s="5"/>
      <c r="K649" s="5"/>
      <c r="L649" s="2"/>
    </row>
    <row r="650" spans="2:12" ht="12.75" x14ac:dyDescent="0.2">
      <c r="B650" s="5"/>
      <c r="E650" s="5"/>
      <c r="G650" s="5"/>
      <c r="I650" s="5"/>
      <c r="K650" s="5"/>
      <c r="L650" s="2"/>
    </row>
    <row r="651" spans="2:12" ht="12.75" x14ac:dyDescent="0.2">
      <c r="B651" s="5"/>
      <c r="E651" s="5"/>
      <c r="G651" s="5"/>
      <c r="I651" s="5"/>
      <c r="K651" s="5"/>
      <c r="L651" s="2"/>
    </row>
    <row r="652" spans="2:12" ht="12.75" x14ac:dyDescent="0.2">
      <c r="B652" s="5"/>
      <c r="E652" s="5"/>
      <c r="G652" s="5"/>
      <c r="I652" s="5"/>
      <c r="K652" s="5"/>
      <c r="L652" s="2"/>
    </row>
    <row r="653" spans="2:12" ht="12.75" x14ac:dyDescent="0.2">
      <c r="B653" s="5"/>
      <c r="E653" s="5"/>
      <c r="G653" s="5"/>
      <c r="I653" s="5"/>
      <c r="K653" s="5"/>
      <c r="L653" s="2"/>
    </row>
    <row r="654" spans="2:12" ht="12.75" x14ac:dyDescent="0.2">
      <c r="B654" s="5"/>
      <c r="E654" s="5"/>
      <c r="G654" s="5"/>
      <c r="I654" s="5"/>
      <c r="K654" s="5"/>
      <c r="L654" s="2"/>
    </row>
    <row r="655" spans="2:12" ht="12.75" x14ac:dyDescent="0.2">
      <c r="B655" s="5"/>
      <c r="E655" s="5"/>
      <c r="G655" s="5"/>
      <c r="I655" s="5"/>
      <c r="K655" s="5"/>
      <c r="L655" s="2"/>
    </row>
    <row r="656" spans="2:12" ht="12.75" x14ac:dyDescent="0.2">
      <c r="B656" s="5"/>
      <c r="E656" s="5"/>
      <c r="G656" s="5"/>
      <c r="I656" s="5"/>
      <c r="K656" s="5"/>
      <c r="L656" s="2"/>
    </row>
    <row r="657" spans="2:12" ht="12.75" x14ac:dyDescent="0.2">
      <c r="B657" s="5"/>
      <c r="E657" s="5"/>
      <c r="G657" s="5"/>
      <c r="I657" s="5"/>
      <c r="K657" s="5"/>
      <c r="L657" s="2"/>
    </row>
    <row r="658" spans="2:12" ht="12.75" x14ac:dyDescent="0.2">
      <c r="B658" s="5"/>
      <c r="E658" s="5"/>
      <c r="G658" s="5"/>
      <c r="I658" s="5"/>
      <c r="K658" s="5"/>
      <c r="L658" s="2"/>
    </row>
    <row r="659" spans="2:12" ht="12.75" x14ac:dyDescent="0.2">
      <c r="B659" s="5"/>
      <c r="E659" s="5"/>
      <c r="G659" s="5"/>
      <c r="I659" s="5"/>
      <c r="K659" s="5"/>
      <c r="L659" s="2"/>
    </row>
    <row r="660" spans="2:12" ht="12.75" x14ac:dyDescent="0.2">
      <c r="B660" s="5"/>
      <c r="E660" s="5"/>
      <c r="G660" s="5"/>
      <c r="I660" s="5"/>
      <c r="K660" s="5"/>
      <c r="L660" s="2"/>
    </row>
    <row r="661" spans="2:12" ht="12.75" x14ac:dyDescent="0.2">
      <c r="B661" s="5"/>
      <c r="E661" s="5"/>
      <c r="G661" s="5"/>
      <c r="I661" s="5"/>
      <c r="K661" s="5"/>
      <c r="L661" s="2"/>
    </row>
    <row r="662" spans="2:12" ht="12.75" x14ac:dyDescent="0.2">
      <c r="B662" s="5"/>
      <c r="E662" s="5"/>
      <c r="G662" s="5"/>
      <c r="I662" s="5"/>
      <c r="K662" s="5"/>
      <c r="L662" s="2"/>
    </row>
    <row r="663" spans="2:12" ht="12.75" x14ac:dyDescent="0.2">
      <c r="B663" s="5"/>
      <c r="E663" s="5"/>
      <c r="G663" s="5"/>
      <c r="I663" s="5"/>
      <c r="K663" s="5"/>
      <c r="L663" s="2"/>
    </row>
    <row r="664" spans="2:12" ht="12.75" x14ac:dyDescent="0.2">
      <c r="B664" s="5"/>
      <c r="E664" s="5"/>
      <c r="G664" s="5"/>
      <c r="I664" s="5"/>
      <c r="K664" s="5"/>
      <c r="L664" s="2"/>
    </row>
    <row r="665" spans="2:12" ht="12.75" x14ac:dyDescent="0.2">
      <c r="B665" s="5"/>
      <c r="E665" s="5"/>
      <c r="G665" s="5"/>
      <c r="I665" s="5"/>
      <c r="K665" s="5"/>
      <c r="L665" s="2"/>
    </row>
    <row r="666" spans="2:12" ht="12.75" x14ac:dyDescent="0.2">
      <c r="B666" s="5"/>
      <c r="E666" s="5"/>
      <c r="G666" s="5"/>
      <c r="I666" s="5"/>
      <c r="K666" s="5"/>
      <c r="L666" s="2"/>
    </row>
    <row r="667" spans="2:12" ht="12.75" x14ac:dyDescent="0.2">
      <c r="B667" s="5"/>
      <c r="E667" s="5"/>
      <c r="G667" s="5"/>
      <c r="I667" s="5"/>
      <c r="K667" s="5"/>
      <c r="L667" s="2"/>
    </row>
    <row r="668" spans="2:12" ht="12.75" x14ac:dyDescent="0.2">
      <c r="B668" s="5"/>
      <c r="E668" s="5"/>
      <c r="G668" s="5"/>
      <c r="I668" s="5"/>
      <c r="K668" s="5"/>
      <c r="L668" s="2"/>
    </row>
    <row r="669" spans="2:12" ht="12.75" x14ac:dyDescent="0.2">
      <c r="B669" s="5"/>
      <c r="E669" s="5"/>
      <c r="G669" s="5"/>
      <c r="I669" s="5"/>
      <c r="K669" s="5"/>
      <c r="L669" s="2"/>
    </row>
    <row r="670" spans="2:12" ht="12.75" x14ac:dyDescent="0.2">
      <c r="B670" s="5"/>
      <c r="E670" s="5"/>
      <c r="G670" s="5"/>
      <c r="I670" s="5"/>
      <c r="K670" s="5"/>
      <c r="L670" s="2"/>
    </row>
    <row r="671" spans="2:12" ht="12.75" x14ac:dyDescent="0.2">
      <c r="B671" s="5"/>
      <c r="E671" s="5"/>
      <c r="G671" s="5"/>
      <c r="I671" s="5"/>
      <c r="K671" s="5"/>
      <c r="L671" s="2"/>
    </row>
    <row r="672" spans="2:12" ht="12.75" x14ac:dyDescent="0.2">
      <c r="B672" s="5"/>
      <c r="E672" s="5"/>
      <c r="G672" s="5"/>
      <c r="I672" s="5"/>
      <c r="K672" s="5"/>
      <c r="L672" s="2"/>
    </row>
    <row r="673" spans="2:12" ht="12.75" x14ac:dyDescent="0.2">
      <c r="B673" s="5"/>
      <c r="E673" s="5"/>
      <c r="G673" s="5"/>
      <c r="I673" s="5"/>
      <c r="K673" s="5"/>
      <c r="L673" s="2"/>
    </row>
    <row r="674" spans="2:12" ht="12.75" x14ac:dyDescent="0.2">
      <c r="B674" s="5"/>
      <c r="E674" s="5"/>
      <c r="G674" s="5"/>
      <c r="I674" s="5"/>
      <c r="K674" s="5"/>
      <c r="L674" s="2"/>
    </row>
    <row r="675" spans="2:12" ht="12.75" x14ac:dyDescent="0.2">
      <c r="B675" s="5"/>
      <c r="E675" s="5"/>
      <c r="G675" s="5"/>
      <c r="I675" s="5"/>
      <c r="K675" s="5"/>
      <c r="L675" s="2"/>
    </row>
    <row r="676" spans="2:12" ht="12.75" x14ac:dyDescent="0.2">
      <c r="B676" s="5"/>
      <c r="E676" s="5"/>
      <c r="G676" s="5"/>
      <c r="I676" s="5"/>
      <c r="K676" s="5"/>
      <c r="L676" s="2"/>
    </row>
    <row r="677" spans="2:12" ht="12.75" x14ac:dyDescent="0.2">
      <c r="B677" s="5"/>
      <c r="E677" s="5"/>
      <c r="G677" s="5"/>
      <c r="I677" s="5"/>
      <c r="K677" s="5"/>
      <c r="L677" s="2"/>
    </row>
    <row r="678" spans="2:12" ht="12.75" x14ac:dyDescent="0.2">
      <c r="B678" s="5"/>
      <c r="E678" s="5"/>
      <c r="G678" s="5"/>
      <c r="I678" s="5"/>
      <c r="K678" s="5"/>
      <c r="L678" s="2"/>
    </row>
    <row r="679" spans="2:12" ht="12.75" x14ac:dyDescent="0.2">
      <c r="B679" s="5"/>
      <c r="E679" s="5"/>
      <c r="G679" s="5"/>
      <c r="I679" s="5"/>
      <c r="K679" s="5"/>
      <c r="L679" s="2"/>
    </row>
    <row r="680" spans="2:12" ht="12.75" x14ac:dyDescent="0.2">
      <c r="B680" s="5"/>
      <c r="E680" s="5"/>
      <c r="G680" s="5"/>
      <c r="I680" s="5"/>
      <c r="K680" s="5"/>
      <c r="L680" s="2"/>
    </row>
    <row r="681" spans="2:12" ht="12.75" x14ac:dyDescent="0.2">
      <c r="B681" s="5"/>
      <c r="E681" s="5"/>
      <c r="G681" s="5"/>
      <c r="I681" s="5"/>
      <c r="K681" s="5"/>
      <c r="L681" s="2"/>
    </row>
    <row r="682" spans="2:12" ht="12.75" x14ac:dyDescent="0.2">
      <c r="B682" s="5"/>
      <c r="E682" s="5"/>
      <c r="G682" s="5"/>
      <c r="I682" s="5"/>
      <c r="K682" s="5"/>
      <c r="L682" s="2"/>
    </row>
    <row r="683" spans="2:12" ht="12.75" x14ac:dyDescent="0.2">
      <c r="B683" s="5"/>
      <c r="E683" s="5"/>
      <c r="G683" s="5"/>
      <c r="I683" s="5"/>
      <c r="K683" s="5"/>
      <c r="L683" s="2"/>
    </row>
    <row r="684" spans="2:12" ht="12.75" x14ac:dyDescent="0.2">
      <c r="B684" s="5"/>
      <c r="E684" s="5"/>
      <c r="G684" s="5"/>
      <c r="I684" s="5"/>
      <c r="K684" s="5"/>
      <c r="L684" s="2"/>
    </row>
    <row r="685" spans="2:12" ht="12.75" x14ac:dyDescent="0.2">
      <c r="B685" s="5"/>
      <c r="E685" s="5"/>
      <c r="G685" s="5"/>
      <c r="I685" s="5"/>
      <c r="K685" s="5"/>
      <c r="L685" s="2"/>
    </row>
    <row r="686" spans="2:12" ht="12.75" x14ac:dyDescent="0.2">
      <c r="B686" s="5"/>
      <c r="E686" s="5"/>
      <c r="G686" s="5"/>
      <c r="I686" s="5"/>
      <c r="K686" s="5"/>
      <c r="L686" s="2"/>
    </row>
    <row r="687" spans="2:12" ht="12.75" x14ac:dyDescent="0.2">
      <c r="B687" s="5"/>
      <c r="E687" s="5"/>
      <c r="G687" s="5"/>
      <c r="I687" s="5"/>
      <c r="K687" s="5"/>
      <c r="L687" s="2"/>
    </row>
    <row r="688" spans="2:12" ht="12.75" x14ac:dyDescent="0.2">
      <c r="B688" s="5"/>
      <c r="E688" s="5"/>
      <c r="G688" s="5"/>
      <c r="I688" s="5"/>
      <c r="K688" s="5"/>
      <c r="L688" s="2"/>
    </row>
    <row r="689" spans="2:12" ht="12.75" x14ac:dyDescent="0.2">
      <c r="B689" s="5"/>
      <c r="E689" s="5"/>
      <c r="G689" s="5"/>
      <c r="I689" s="5"/>
      <c r="K689" s="5"/>
      <c r="L689" s="2"/>
    </row>
    <row r="690" spans="2:12" ht="12.75" x14ac:dyDescent="0.2">
      <c r="B690" s="5"/>
      <c r="E690" s="5"/>
      <c r="G690" s="5"/>
      <c r="I690" s="5"/>
      <c r="K690" s="5"/>
      <c r="L690" s="2"/>
    </row>
    <row r="691" spans="2:12" ht="12.75" x14ac:dyDescent="0.2">
      <c r="B691" s="5"/>
      <c r="E691" s="5"/>
      <c r="G691" s="5"/>
      <c r="I691" s="5"/>
      <c r="K691" s="5"/>
      <c r="L691" s="2"/>
    </row>
    <row r="692" spans="2:12" ht="12.75" x14ac:dyDescent="0.2">
      <c r="B692" s="5"/>
      <c r="E692" s="5"/>
      <c r="G692" s="5"/>
      <c r="I692" s="5"/>
      <c r="K692" s="5"/>
      <c r="L692" s="2"/>
    </row>
    <row r="693" spans="2:12" ht="12.75" x14ac:dyDescent="0.2">
      <c r="B693" s="5"/>
      <c r="E693" s="5"/>
      <c r="G693" s="5"/>
      <c r="I693" s="5"/>
      <c r="K693" s="5"/>
      <c r="L693" s="2"/>
    </row>
    <row r="694" spans="2:12" ht="12.75" x14ac:dyDescent="0.2">
      <c r="B694" s="5"/>
      <c r="E694" s="5"/>
      <c r="G694" s="5"/>
      <c r="I694" s="5"/>
      <c r="K694" s="5"/>
      <c r="L694" s="2"/>
    </row>
    <row r="695" spans="2:12" ht="12.75" x14ac:dyDescent="0.2">
      <c r="B695" s="5"/>
      <c r="E695" s="5"/>
      <c r="G695" s="5"/>
      <c r="I695" s="5"/>
      <c r="K695" s="5"/>
      <c r="L695" s="2"/>
    </row>
    <row r="696" spans="2:12" ht="12.75" x14ac:dyDescent="0.2">
      <c r="B696" s="5"/>
      <c r="E696" s="5"/>
      <c r="G696" s="5"/>
      <c r="I696" s="5"/>
      <c r="K696" s="5"/>
      <c r="L696" s="2"/>
    </row>
    <row r="697" spans="2:12" ht="12.75" x14ac:dyDescent="0.2">
      <c r="B697" s="5"/>
      <c r="E697" s="5"/>
      <c r="G697" s="5"/>
      <c r="I697" s="5"/>
      <c r="K697" s="5"/>
      <c r="L697" s="2"/>
    </row>
    <row r="698" spans="2:12" ht="12.75" x14ac:dyDescent="0.2">
      <c r="B698" s="5"/>
      <c r="E698" s="5"/>
      <c r="G698" s="5"/>
      <c r="I698" s="5"/>
      <c r="K698" s="5"/>
      <c r="L698" s="2"/>
    </row>
    <row r="699" spans="2:12" ht="12.75" x14ac:dyDescent="0.2">
      <c r="B699" s="5"/>
      <c r="E699" s="5"/>
      <c r="G699" s="5"/>
      <c r="I699" s="5"/>
      <c r="K699" s="5"/>
      <c r="L699" s="2"/>
    </row>
    <row r="700" spans="2:12" ht="12.75" x14ac:dyDescent="0.2">
      <c r="B700" s="5"/>
      <c r="E700" s="5"/>
      <c r="G700" s="5"/>
      <c r="I700" s="5"/>
      <c r="K700" s="5"/>
      <c r="L700" s="2"/>
    </row>
    <row r="701" spans="2:12" ht="12.75" x14ac:dyDescent="0.2">
      <c r="B701" s="5"/>
      <c r="E701" s="5"/>
      <c r="G701" s="5"/>
      <c r="I701" s="5"/>
      <c r="K701" s="5"/>
      <c r="L701" s="2"/>
    </row>
    <row r="702" spans="2:12" ht="12.75" x14ac:dyDescent="0.2">
      <c r="B702" s="5"/>
      <c r="E702" s="5"/>
      <c r="G702" s="5"/>
      <c r="I702" s="5"/>
      <c r="K702" s="5"/>
      <c r="L702" s="2"/>
    </row>
    <row r="703" spans="2:12" ht="12.75" x14ac:dyDescent="0.2">
      <c r="B703" s="5"/>
      <c r="E703" s="5"/>
      <c r="G703" s="5"/>
      <c r="I703" s="5"/>
      <c r="K703" s="5"/>
      <c r="L703" s="2"/>
    </row>
    <row r="704" spans="2:12" ht="12.75" x14ac:dyDescent="0.2">
      <c r="B704" s="5"/>
      <c r="E704" s="5"/>
      <c r="G704" s="5"/>
      <c r="I704" s="5"/>
      <c r="K704" s="5"/>
      <c r="L704" s="2"/>
    </row>
    <row r="705" spans="2:12" ht="12.75" x14ac:dyDescent="0.2">
      <c r="B705" s="5"/>
      <c r="E705" s="5"/>
      <c r="G705" s="5"/>
      <c r="I705" s="5"/>
      <c r="K705" s="5"/>
      <c r="L705" s="2"/>
    </row>
    <row r="706" spans="2:12" ht="12.75" x14ac:dyDescent="0.2">
      <c r="B706" s="5"/>
      <c r="E706" s="5"/>
      <c r="G706" s="5"/>
      <c r="I706" s="5"/>
      <c r="K706" s="5"/>
      <c r="L706" s="2"/>
    </row>
    <row r="707" spans="2:12" ht="12.75" x14ac:dyDescent="0.2">
      <c r="B707" s="5"/>
      <c r="E707" s="5"/>
      <c r="G707" s="5"/>
      <c r="I707" s="5"/>
      <c r="K707" s="5"/>
      <c r="L707" s="2"/>
    </row>
    <row r="708" spans="2:12" ht="12.75" x14ac:dyDescent="0.2">
      <c r="B708" s="5"/>
      <c r="E708" s="5"/>
      <c r="G708" s="5"/>
      <c r="I708" s="5"/>
      <c r="K708" s="5"/>
      <c r="L708" s="2"/>
    </row>
    <row r="709" spans="2:12" ht="12.75" x14ac:dyDescent="0.2">
      <c r="B709" s="5"/>
      <c r="E709" s="5"/>
      <c r="G709" s="5"/>
      <c r="I709" s="5"/>
      <c r="K709" s="5"/>
      <c r="L709" s="2"/>
    </row>
    <row r="710" spans="2:12" ht="12.75" x14ac:dyDescent="0.2">
      <c r="B710" s="5"/>
      <c r="E710" s="5"/>
      <c r="G710" s="5"/>
      <c r="I710" s="5"/>
      <c r="K710" s="5"/>
      <c r="L710" s="2"/>
    </row>
    <row r="711" spans="2:12" ht="12.75" x14ac:dyDescent="0.2">
      <c r="B711" s="5"/>
      <c r="E711" s="5"/>
      <c r="G711" s="5"/>
      <c r="I711" s="5"/>
      <c r="K711" s="5"/>
      <c r="L711" s="2"/>
    </row>
    <row r="712" spans="2:12" ht="12.75" x14ac:dyDescent="0.2">
      <c r="B712" s="5"/>
      <c r="E712" s="5"/>
      <c r="G712" s="5"/>
      <c r="I712" s="5"/>
      <c r="K712" s="5"/>
      <c r="L712" s="2"/>
    </row>
    <row r="713" spans="2:12" ht="12.75" x14ac:dyDescent="0.2">
      <c r="B713" s="5"/>
      <c r="E713" s="5"/>
      <c r="G713" s="5"/>
      <c r="I713" s="5"/>
      <c r="K713" s="5"/>
      <c r="L713" s="2"/>
    </row>
    <row r="714" spans="2:12" ht="12.75" x14ac:dyDescent="0.2">
      <c r="B714" s="5"/>
      <c r="E714" s="5"/>
      <c r="G714" s="5"/>
      <c r="I714" s="5"/>
      <c r="K714" s="5"/>
      <c r="L714" s="2"/>
    </row>
    <row r="715" spans="2:12" ht="12.75" x14ac:dyDescent="0.2">
      <c r="B715" s="5"/>
      <c r="E715" s="5"/>
      <c r="G715" s="5"/>
      <c r="I715" s="5"/>
      <c r="K715" s="5"/>
      <c r="L715" s="2"/>
    </row>
    <row r="716" spans="2:12" ht="12.75" x14ac:dyDescent="0.2">
      <c r="B716" s="5"/>
      <c r="E716" s="5"/>
      <c r="G716" s="5"/>
      <c r="I716" s="5"/>
      <c r="K716" s="5"/>
      <c r="L716" s="2"/>
    </row>
    <row r="717" spans="2:12" ht="12.75" x14ac:dyDescent="0.2">
      <c r="B717" s="5"/>
      <c r="E717" s="5"/>
      <c r="G717" s="5"/>
      <c r="I717" s="5"/>
      <c r="K717" s="5"/>
      <c r="L717" s="2"/>
    </row>
    <row r="718" spans="2:12" ht="12.75" x14ac:dyDescent="0.2">
      <c r="B718" s="5"/>
      <c r="E718" s="5"/>
      <c r="G718" s="5"/>
      <c r="I718" s="5"/>
      <c r="K718" s="5"/>
      <c r="L718" s="2"/>
    </row>
    <row r="719" spans="2:12" ht="12.75" x14ac:dyDescent="0.2">
      <c r="B719" s="5"/>
      <c r="E719" s="5"/>
      <c r="G719" s="5"/>
      <c r="I719" s="5"/>
      <c r="K719" s="5"/>
      <c r="L719" s="2"/>
    </row>
    <row r="720" spans="2:12" ht="12.75" x14ac:dyDescent="0.2">
      <c r="B720" s="5"/>
      <c r="E720" s="5"/>
      <c r="G720" s="5"/>
      <c r="I720" s="5"/>
      <c r="K720" s="5"/>
      <c r="L720" s="2"/>
    </row>
    <row r="721" spans="2:12" ht="12.75" x14ac:dyDescent="0.2">
      <c r="B721" s="5"/>
      <c r="E721" s="5"/>
      <c r="G721" s="5"/>
      <c r="I721" s="5"/>
      <c r="K721" s="5"/>
      <c r="L721" s="2"/>
    </row>
    <row r="722" spans="2:12" ht="12.75" x14ac:dyDescent="0.2">
      <c r="B722" s="5"/>
      <c r="E722" s="5"/>
      <c r="G722" s="5"/>
      <c r="I722" s="5"/>
      <c r="K722" s="5"/>
      <c r="L722" s="2"/>
    </row>
    <row r="723" spans="2:12" ht="12.75" x14ac:dyDescent="0.2">
      <c r="B723" s="5"/>
      <c r="E723" s="5"/>
      <c r="G723" s="5"/>
      <c r="I723" s="5"/>
      <c r="K723" s="5"/>
      <c r="L723" s="2"/>
    </row>
    <row r="724" spans="2:12" ht="12.75" x14ac:dyDescent="0.2">
      <c r="B724" s="5"/>
      <c r="E724" s="5"/>
      <c r="G724" s="5"/>
      <c r="I724" s="5"/>
      <c r="K724" s="5"/>
      <c r="L724" s="2"/>
    </row>
    <row r="725" spans="2:12" ht="12.75" x14ac:dyDescent="0.2">
      <c r="B725" s="5"/>
      <c r="E725" s="5"/>
      <c r="G725" s="5"/>
      <c r="I725" s="5"/>
      <c r="K725" s="5"/>
      <c r="L725" s="2"/>
    </row>
    <row r="726" spans="2:12" ht="12.75" x14ac:dyDescent="0.2">
      <c r="B726" s="5"/>
      <c r="E726" s="5"/>
      <c r="G726" s="5"/>
      <c r="I726" s="5"/>
      <c r="K726" s="5"/>
      <c r="L726" s="2"/>
    </row>
    <row r="727" spans="2:12" ht="12.75" x14ac:dyDescent="0.2">
      <c r="B727" s="5"/>
      <c r="E727" s="5"/>
      <c r="G727" s="5"/>
      <c r="I727" s="5"/>
      <c r="K727" s="5"/>
      <c r="L727" s="2"/>
    </row>
    <row r="728" spans="2:12" ht="12.75" x14ac:dyDescent="0.2">
      <c r="B728" s="5"/>
      <c r="E728" s="5"/>
      <c r="G728" s="5"/>
      <c r="I728" s="5"/>
      <c r="K728" s="5"/>
      <c r="L728" s="2"/>
    </row>
    <row r="729" spans="2:12" ht="12.75" x14ac:dyDescent="0.2">
      <c r="B729" s="5"/>
      <c r="E729" s="5"/>
      <c r="G729" s="5"/>
      <c r="I729" s="5"/>
      <c r="K729" s="5"/>
      <c r="L729" s="2"/>
    </row>
    <row r="730" spans="2:12" ht="12.75" x14ac:dyDescent="0.2">
      <c r="B730" s="5"/>
      <c r="E730" s="5"/>
      <c r="G730" s="5"/>
      <c r="I730" s="5"/>
      <c r="K730" s="5"/>
      <c r="L730" s="2"/>
    </row>
    <row r="731" spans="2:12" ht="12.75" x14ac:dyDescent="0.2">
      <c r="B731" s="5"/>
      <c r="E731" s="5"/>
      <c r="G731" s="5"/>
      <c r="I731" s="5"/>
      <c r="K731" s="5"/>
      <c r="L731" s="2"/>
    </row>
    <row r="732" spans="2:12" ht="12.75" x14ac:dyDescent="0.2">
      <c r="B732" s="5"/>
      <c r="E732" s="5"/>
      <c r="G732" s="5"/>
      <c r="I732" s="5"/>
      <c r="K732" s="5"/>
      <c r="L732" s="2"/>
    </row>
    <row r="733" spans="2:12" ht="12.75" x14ac:dyDescent="0.2">
      <c r="B733" s="5"/>
      <c r="E733" s="5"/>
      <c r="G733" s="5"/>
      <c r="I733" s="5"/>
      <c r="K733" s="5"/>
      <c r="L733" s="2"/>
    </row>
    <row r="734" spans="2:12" ht="12.75" x14ac:dyDescent="0.2">
      <c r="B734" s="5"/>
      <c r="E734" s="5"/>
      <c r="G734" s="5"/>
      <c r="I734" s="5"/>
      <c r="K734" s="5"/>
      <c r="L734" s="2"/>
    </row>
    <row r="735" spans="2:12" ht="12.75" x14ac:dyDescent="0.2">
      <c r="B735" s="5"/>
      <c r="E735" s="5"/>
      <c r="G735" s="5"/>
      <c r="I735" s="5"/>
      <c r="K735" s="5"/>
      <c r="L735" s="2"/>
    </row>
    <row r="736" spans="2:12" ht="12.75" x14ac:dyDescent="0.2">
      <c r="B736" s="5"/>
      <c r="E736" s="5"/>
      <c r="G736" s="5"/>
      <c r="I736" s="5"/>
      <c r="K736" s="5"/>
      <c r="L736" s="2"/>
    </row>
    <row r="737" spans="2:12" ht="12.75" x14ac:dyDescent="0.2">
      <c r="B737" s="5"/>
      <c r="E737" s="5"/>
      <c r="G737" s="5"/>
      <c r="I737" s="5"/>
      <c r="K737" s="5"/>
      <c r="L737" s="2"/>
    </row>
    <row r="738" spans="2:12" ht="12.75" x14ac:dyDescent="0.2">
      <c r="B738" s="5"/>
      <c r="E738" s="5"/>
      <c r="G738" s="5"/>
      <c r="I738" s="5"/>
      <c r="K738" s="5"/>
      <c r="L738" s="2"/>
    </row>
    <row r="739" spans="2:12" ht="12.75" x14ac:dyDescent="0.2">
      <c r="B739" s="5"/>
      <c r="E739" s="5"/>
      <c r="G739" s="5"/>
      <c r="I739" s="5"/>
      <c r="K739" s="5"/>
      <c r="L739" s="2"/>
    </row>
    <row r="740" spans="2:12" ht="12.75" x14ac:dyDescent="0.2">
      <c r="B740" s="5"/>
      <c r="E740" s="5"/>
      <c r="G740" s="5"/>
      <c r="I740" s="5"/>
      <c r="K740" s="5"/>
      <c r="L740" s="2"/>
    </row>
    <row r="741" spans="2:12" ht="12.75" x14ac:dyDescent="0.2">
      <c r="B741" s="5"/>
      <c r="E741" s="5"/>
      <c r="G741" s="5"/>
      <c r="I741" s="5"/>
      <c r="K741" s="5"/>
      <c r="L741" s="2"/>
    </row>
    <row r="742" spans="2:12" ht="12.75" x14ac:dyDescent="0.2">
      <c r="B742" s="5"/>
      <c r="E742" s="5"/>
      <c r="G742" s="5"/>
      <c r="I742" s="5"/>
      <c r="K742" s="5"/>
      <c r="L742" s="2"/>
    </row>
    <row r="743" spans="2:12" ht="12.75" x14ac:dyDescent="0.2">
      <c r="B743" s="5"/>
      <c r="E743" s="5"/>
      <c r="G743" s="5"/>
      <c r="I743" s="5"/>
      <c r="K743" s="5"/>
      <c r="L743" s="2"/>
    </row>
    <row r="744" spans="2:12" ht="12.75" x14ac:dyDescent="0.2">
      <c r="B744" s="5"/>
      <c r="E744" s="5"/>
      <c r="G744" s="5"/>
      <c r="I744" s="5"/>
      <c r="K744" s="5"/>
      <c r="L744" s="2"/>
    </row>
    <row r="745" spans="2:12" ht="12.75" x14ac:dyDescent="0.2">
      <c r="B745" s="5"/>
      <c r="E745" s="5"/>
      <c r="G745" s="5"/>
      <c r="I745" s="5"/>
      <c r="K745" s="5"/>
      <c r="L745" s="2"/>
    </row>
    <row r="746" spans="2:12" ht="12.75" x14ac:dyDescent="0.2">
      <c r="B746" s="5"/>
      <c r="E746" s="5"/>
      <c r="G746" s="5"/>
      <c r="I746" s="5"/>
      <c r="K746" s="5"/>
      <c r="L746" s="2"/>
    </row>
    <row r="747" spans="2:12" ht="12.75" x14ac:dyDescent="0.2">
      <c r="B747" s="5"/>
      <c r="E747" s="5"/>
      <c r="G747" s="5"/>
      <c r="I747" s="5"/>
      <c r="K747" s="5"/>
      <c r="L747" s="2"/>
    </row>
    <row r="748" spans="2:12" ht="12.75" x14ac:dyDescent="0.2">
      <c r="B748" s="5"/>
      <c r="E748" s="5"/>
      <c r="G748" s="5"/>
      <c r="I748" s="5"/>
      <c r="K748" s="5"/>
      <c r="L748" s="2"/>
    </row>
    <row r="749" spans="2:12" ht="12.75" x14ac:dyDescent="0.2">
      <c r="B749" s="5"/>
      <c r="E749" s="5"/>
      <c r="G749" s="5"/>
      <c r="I749" s="5"/>
      <c r="K749" s="5"/>
      <c r="L749" s="2"/>
    </row>
    <row r="750" spans="2:12" ht="12.75" x14ac:dyDescent="0.2">
      <c r="B750" s="5"/>
      <c r="E750" s="5"/>
      <c r="G750" s="5"/>
      <c r="I750" s="5"/>
      <c r="K750" s="5"/>
      <c r="L750" s="2"/>
    </row>
    <row r="751" spans="2:12" ht="12.75" x14ac:dyDescent="0.2">
      <c r="B751" s="5"/>
      <c r="E751" s="5"/>
      <c r="G751" s="5"/>
      <c r="I751" s="5"/>
      <c r="K751" s="5"/>
      <c r="L751" s="2"/>
    </row>
    <row r="752" spans="2:12" ht="12.75" x14ac:dyDescent="0.2">
      <c r="B752" s="5"/>
      <c r="E752" s="5"/>
      <c r="G752" s="5"/>
      <c r="I752" s="5"/>
      <c r="K752" s="5"/>
      <c r="L752" s="2"/>
    </row>
    <row r="753" spans="2:12" ht="12.75" x14ac:dyDescent="0.2">
      <c r="B753" s="5"/>
      <c r="E753" s="5"/>
      <c r="G753" s="5"/>
      <c r="I753" s="5"/>
      <c r="K753" s="5"/>
      <c r="L753" s="2"/>
    </row>
    <row r="754" spans="2:12" ht="12.75" x14ac:dyDescent="0.2">
      <c r="B754" s="5"/>
      <c r="E754" s="5"/>
      <c r="G754" s="5"/>
      <c r="I754" s="5"/>
      <c r="K754" s="5"/>
      <c r="L754" s="2"/>
    </row>
    <row r="755" spans="2:12" ht="12.75" x14ac:dyDescent="0.2">
      <c r="B755" s="5"/>
      <c r="E755" s="5"/>
      <c r="G755" s="5"/>
      <c r="I755" s="5"/>
      <c r="K755" s="5"/>
      <c r="L755" s="2"/>
    </row>
    <row r="756" spans="2:12" ht="12.75" x14ac:dyDescent="0.2">
      <c r="B756" s="5"/>
      <c r="E756" s="5"/>
      <c r="G756" s="5"/>
      <c r="I756" s="5"/>
      <c r="K756" s="5"/>
      <c r="L756" s="2"/>
    </row>
    <row r="757" spans="2:12" ht="12.75" x14ac:dyDescent="0.2">
      <c r="B757" s="5"/>
      <c r="E757" s="5"/>
      <c r="G757" s="5"/>
      <c r="I757" s="5"/>
      <c r="K757" s="5"/>
      <c r="L757" s="2"/>
    </row>
    <row r="758" spans="2:12" ht="12.75" x14ac:dyDescent="0.2">
      <c r="B758" s="5"/>
      <c r="E758" s="5"/>
      <c r="G758" s="5"/>
      <c r="I758" s="5"/>
      <c r="K758" s="5"/>
      <c r="L758" s="2"/>
    </row>
    <row r="759" spans="2:12" ht="12.75" x14ac:dyDescent="0.2">
      <c r="B759" s="5"/>
      <c r="E759" s="5"/>
      <c r="G759" s="5"/>
      <c r="I759" s="5"/>
      <c r="K759" s="5"/>
      <c r="L759" s="2"/>
    </row>
    <row r="760" spans="2:12" ht="12.75" x14ac:dyDescent="0.2">
      <c r="B760" s="5"/>
      <c r="E760" s="5"/>
      <c r="G760" s="5"/>
      <c r="I760" s="5"/>
      <c r="K760" s="5"/>
      <c r="L760" s="2"/>
    </row>
    <row r="761" spans="2:12" ht="12.75" x14ac:dyDescent="0.2">
      <c r="B761" s="5"/>
      <c r="E761" s="5"/>
      <c r="G761" s="5"/>
      <c r="I761" s="5"/>
      <c r="K761" s="5"/>
      <c r="L761" s="2"/>
    </row>
    <row r="762" spans="2:12" ht="12.75" x14ac:dyDescent="0.2">
      <c r="B762" s="5"/>
      <c r="E762" s="5"/>
      <c r="G762" s="5"/>
      <c r="I762" s="5"/>
      <c r="K762" s="5"/>
      <c r="L762" s="2"/>
    </row>
    <row r="763" spans="2:12" ht="12.75" x14ac:dyDescent="0.2">
      <c r="B763" s="5"/>
      <c r="E763" s="5"/>
      <c r="G763" s="5"/>
      <c r="I763" s="5"/>
      <c r="K763" s="5"/>
      <c r="L763" s="2"/>
    </row>
    <row r="764" spans="2:12" ht="12.75" x14ac:dyDescent="0.2">
      <c r="B764" s="5"/>
      <c r="E764" s="5"/>
      <c r="G764" s="5"/>
      <c r="I764" s="5"/>
      <c r="K764" s="5"/>
      <c r="L764" s="2"/>
    </row>
    <row r="765" spans="2:12" ht="12.75" x14ac:dyDescent="0.2">
      <c r="B765" s="5"/>
      <c r="E765" s="5"/>
      <c r="G765" s="5"/>
      <c r="I765" s="5"/>
      <c r="K765" s="5"/>
      <c r="L765" s="2"/>
    </row>
    <row r="766" spans="2:12" ht="12.75" x14ac:dyDescent="0.2">
      <c r="B766" s="5"/>
      <c r="E766" s="5"/>
      <c r="G766" s="5"/>
      <c r="I766" s="5"/>
      <c r="K766" s="5"/>
      <c r="L766" s="2"/>
    </row>
    <row r="767" spans="2:12" ht="12.75" x14ac:dyDescent="0.2">
      <c r="B767" s="5"/>
      <c r="E767" s="5"/>
      <c r="G767" s="5"/>
      <c r="I767" s="5"/>
      <c r="K767" s="5"/>
      <c r="L767" s="2"/>
    </row>
    <row r="768" spans="2:12" ht="12.75" x14ac:dyDescent="0.2">
      <c r="B768" s="5"/>
      <c r="E768" s="5"/>
      <c r="G768" s="5"/>
      <c r="I768" s="5"/>
      <c r="K768" s="5"/>
      <c r="L768" s="2"/>
    </row>
    <row r="769" spans="2:12" ht="12.75" x14ac:dyDescent="0.2">
      <c r="B769" s="5"/>
      <c r="E769" s="5"/>
      <c r="G769" s="5"/>
      <c r="I769" s="5"/>
      <c r="K769" s="5"/>
      <c r="L769" s="2"/>
    </row>
    <row r="770" spans="2:12" ht="12.75" x14ac:dyDescent="0.2">
      <c r="B770" s="5"/>
      <c r="E770" s="5"/>
      <c r="G770" s="5"/>
      <c r="I770" s="5"/>
      <c r="K770" s="5"/>
      <c r="L770" s="2"/>
    </row>
    <row r="771" spans="2:12" ht="12.75" x14ac:dyDescent="0.2">
      <c r="B771" s="5"/>
      <c r="E771" s="5"/>
      <c r="G771" s="5"/>
      <c r="I771" s="5"/>
      <c r="K771" s="5"/>
      <c r="L771" s="2"/>
    </row>
    <row r="772" spans="2:12" ht="12.75" x14ac:dyDescent="0.2">
      <c r="B772" s="5"/>
      <c r="E772" s="5"/>
      <c r="G772" s="5"/>
      <c r="I772" s="5"/>
      <c r="K772" s="5"/>
      <c r="L772" s="2"/>
    </row>
    <row r="773" spans="2:12" ht="12.75" x14ac:dyDescent="0.2">
      <c r="B773" s="5"/>
      <c r="E773" s="5"/>
      <c r="G773" s="5"/>
      <c r="I773" s="5"/>
      <c r="K773" s="5"/>
      <c r="L773" s="2"/>
    </row>
    <row r="774" spans="2:12" ht="12.75" x14ac:dyDescent="0.2">
      <c r="B774" s="5"/>
      <c r="E774" s="5"/>
      <c r="G774" s="5"/>
      <c r="I774" s="5"/>
      <c r="K774" s="5"/>
      <c r="L774" s="2"/>
    </row>
    <row r="775" spans="2:12" ht="12.75" x14ac:dyDescent="0.2">
      <c r="B775" s="5"/>
      <c r="E775" s="5"/>
      <c r="G775" s="5"/>
      <c r="I775" s="5"/>
      <c r="K775" s="5"/>
      <c r="L775" s="2"/>
    </row>
    <row r="776" spans="2:12" ht="12.75" x14ac:dyDescent="0.2">
      <c r="B776" s="5"/>
      <c r="E776" s="5"/>
      <c r="G776" s="5"/>
      <c r="I776" s="5"/>
      <c r="K776" s="5"/>
      <c r="L776" s="2"/>
    </row>
    <row r="777" spans="2:12" ht="12.75" x14ac:dyDescent="0.2">
      <c r="B777" s="5"/>
      <c r="E777" s="5"/>
      <c r="G777" s="5"/>
      <c r="I777" s="5"/>
      <c r="K777" s="5"/>
      <c r="L777" s="2"/>
    </row>
    <row r="778" spans="2:12" ht="12.75" x14ac:dyDescent="0.2">
      <c r="B778" s="5"/>
      <c r="E778" s="5"/>
      <c r="G778" s="5"/>
      <c r="I778" s="5"/>
      <c r="K778" s="5"/>
      <c r="L778" s="2"/>
    </row>
    <row r="779" spans="2:12" ht="12.75" x14ac:dyDescent="0.2">
      <c r="B779" s="5"/>
      <c r="E779" s="5"/>
      <c r="G779" s="5"/>
      <c r="I779" s="5"/>
      <c r="K779" s="5"/>
      <c r="L779" s="2"/>
    </row>
    <row r="780" spans="2:12" ht="12.75" x14ac:dyDescent="0.2">
      <c r="B780" s="5"/>
      <c r="E780" s="5"/>
      <c r="G780" s="5"/>
      <c r="I780" s="5"/>
      <c r="K780" s="5"/>
      <c r="L780" s="2"/>
    </row>
    <row r="781" spans="2:12" ht="12.75" x14ac:dyDescent="0.2">
      <c r="B781" s="5"/>
      <c r="E781" s="5"/>
      <c r="G781" s="5"/>
      <c r="I781" s="5"/>
      <c r="K781" s="5"/>
      <c r="L781" s="2"/>
    </row>
    <row r="782" spans="2:12" ht="12.75" x14ac:dyDescent="0.2">
      <c r="B782" s="5"/>
      <c r="E782" s="5"/>
      <c r="G782" s="5"/>
      <c r="I782" s="5"/>
      <c r="K782" s="5"/>
      <c r="L782" s="2"/>
    </row>
    <row r="783" spans="2:12" ht="12.75" x14ac:dyDescent="0.2">
      <c r="B783" s="5"/>
      <c r="E783" s="5"/>
      <c r="G783" s="5"/>
      <c r="I783" s="5"/>
      <c r="K783" s="5"/>
      <c r="L783" s="2"/>
    </row>
    <row r="784" spans="2:12" ht="12.75" x14ac:dyDescent="0.2">
      <c r="B784" s="5"/>
      <c r="E784" s="5"/>
      <c r="G784" s="5"/>
      <c r="I784" s="5"/>
      <c r="K784" s="5"/>
      <c r="L784" s="2"/>
    </row>
    <row r="785" spans="2:12" ht="12.75" x14ac:dyDescent="0.2">
      <c r="B785" s="5"/>
      <c r="E785" s="5"/>
      <c r="G785" s="5"/>
      <c r="I785" s="5"/>
      <c r="K785" s="5"/>
      <c r="L785" s="2"/>
    </row>
    <row r="786" spans="2:12" ht="12.75" x14ac:dyDescent="0.2">
      <c r="B786" s="5"/>
      <c r="E786" s="5"/>
      <c r="G786" s="5"/>
      <c r="I786" s="5"/>
      <c r="K786" s="5"/>
      <c r="L786" s="2"/>
    </row>
    <row r="787" spans="2:12" ht="12.75" x14ac:dyDescent="0.2">
      <c r="B787" s="5"/>
      <c r="E787" s="5"/>
      <c r="G787" s="5"/>
      <c r="I787" s="5"/>
      <c r="K787" s="5"/>
      <c r="L787" s="2"/>
    </row>
    <row r="788" spans="2:12" ht="12.75" x14ac:dyDescent="0.2">
      <c r="B788" s="5"/>
      <c r="E788" s="5"/>
      <c r="G788" s="5"/>
      <c r="I788" s="5"/>
      <c r="K788" s="5"/>
      <c r="L788" s="2"/>
    </row>
    <row r="789" spans="2:12" ht="12.75" x14ac:dyDescent="0.2">
      <c r="B789" s="5"/>
      <c r="E789" s="5"/>
      <c r="G789" s="5"/>
      <c r="I789" s="5"/>
      <c r="K789" s="5"/>
      <c r="L789" s="2"/>
    </row>
    <row r="790" spans="2:12" ht="12.75" x14ac:dyDescent="0.2">
      <c r="B790" s="5"/>
      <c r="E790" s="5"/>
      <c r="G790" s="5"/>
      <c r="I790" s="5"/>
      <c r="K790" s="5"/>
      <c r="L790" s="2"/>
    </row>
    <row r="791" spans="2:12" ht="12.75" x14ac:dyDescent="0.2">
      <c r="B791" s="5"/>
      <c r="E791" s="5"/>
      <c r="G791" s="5"/>
      <c r="I791" s="5"/>
      <c r="K791" s="5"/>
      <c r="L791" s="2"/>
    </row>
    <row r="792" spans="2:12" ht="12.75" x14ac:dyDescent="0.2">
      <c r="B792" s="5"/>
      <c r="E792" s="5"/>
      <c r="G792" s="5"/>
      <c r="I792" s="5"/>
      <c r="K792" s="5"/>
      <c r="L792" s="2"/>
    </row>
    <row r="793" spans="2:12" ht="12.75" x14ac:dyDescent="0.2">
      <c r="B793" s="5"/>
      <c r="E793" s="5"/>
      <c r="G793" s="5"/>
      <c r="I793" s="5"/>
      <c r="K793" s="5"/>
      <c r="L793" s="2"/>
    </row>
    <row r="794" spans="2:12" ht="12.75" x14ac:dyDescent="0.2">
      <c r="B794" s="5"/>
      <c r="E794" s="5"/>
      <c r="G794" s="5"/>
      <c r="I794" s="5"/>
      <c r="K794" s="5"/>
      <c r="L794" s="2"/>
    </row>
    <row r="795" spans="2:12" ht="12.75" x14ac:dyDescent="0.2">
      <c r="B795" s="5"/>
      <c r="E795" s="5"/>
      <c r="G795" s="5"/>
      <c r="I795" s="5"/>
      <c r="K795" s="5"/>
      <c r="L795" s="2"/>
    </row>
    <row r="796" spans="2:12" ht="12.75" x14ac:dyDescent="0.2">
      <c r="B796" s="5"/>
      <c r="E796" s="5"/>
      <c r="G796" s="5"/>
      <c r="I796" s="5"/>
      <c r="K796" s="5"/>
      <c r="L796" s="2"/>
    </row>
    <row r="797" spans="2:12" ht="12.75" x14ac:dyDescent="0.2">
      <c r="B797" s="5"/>
      <c r="E797" s="5"/>
      <c r="G797" s="5"/>
      <c r="I797" s="5"/>
      <c r="K797" s="5"/>
      <c r="L797" s="2"/>
    </row>
    <row r="798" spans="2:12" ht="12.75" x14ac:dyDescent="0.2">
      <c r="B798" s="5"/>
      <c r="E798" s="5"/>
      <c r="G798" s="5"/>
      <c r="I798" s="5"/>
      <c r="K798" s="5"/>
      <c r="L798" s="2"/>
    </row>
    <row r="799" spans="2:12" ht="12.75" x14ac:dyDescent="0.2">
      <c r="B799" s="5"/>
      <c r="E799" s="5"/>
      <c r="G799" s="5"/>
      <c r="I799" s="5"/>
      <c r="K799" s="5"/>
      <c r="L799" s="2"/>
    </row>
    <row r="800" spans="2:12" ht="12.75" x14ac:dyDescent="0.2">
      <c r="B800" s="5"/>
      <c r="E800" s="5"/>
      <c r="G800" s="5"/>
      <c r="I800" s="5"/>
      <c r="K800" s="5"/>
      <c r="L800" s="2"/>
    </row>
    <row r="801" spans="2:12" ht="12.75" x14ac:dyDescent="0.2">
      <c r="B801" s="5"/>
      <c r="E801" s="5"/>
      <c r="G801" s="5"/>
      <c r="I801" s="5"/>
      <c r="K801" s="5"/>
      <c r="L801" s="2"/>
    </row>
    <row r="802" spans="2:12" ht="12.75" x14ac:dyDescent="0.2">
      <c r="B802" s="5"/>
      <c r="E802" s="5"/>
      <c r="G802" s="5"/>
      <c r="I802" s="5"/>
      <c r="K802" s="5"/>
      <c r="L802" s="2"/>
    </row>
    <row r="803" spans="2:12" ht="12.75" x14ac:dyDescent="0.2">
      <c r="B803" s="5"/>
      <c r="E803" s="5"/>
      <c r="G803" s="5"/>
      <c r="I803" s="5"/>
      <c r="K803" s="5"/>
      <c r="L803" s="2"/>
    </row>
    <row r="804" spans="2:12" ht="12.75" x14ac:dyDescent="0.2">
      <c r="B804" s="5"/>
      <c r="E804" s="5"/>
      <c r="G804" s="5"/>
      <c r="I804" s="5"/>
      <c r="K804" s="5"/>
      <c r="L804" s="2"/>
    </row>
    <row r="805" spans="2:12" ht="12.75" x14ac:dyDescent="0.2">
      <c r="B805" s="5"/>
      <c r="E805" s="5"/>
      <c r="G805" s="5"/>
      <c r="I805" s="5"/>
      <c r="K805" s="5"/>
      <c r="L805" s="2"/>
    </row>
    <row r="806" spans="2:12" ht="12.75" x14ac:dyDescent="0.2">
      <c r="B806" s="5"/>
      <c r="E806" s="5"/>
      <c r="G806" s="5"/>
      <c r="I806" s="5"/>
      <c r="K806" s="5"/>
      <c r="L806" s="2"/>
    </row>
    <row r="807" spans="2:12" ht="12.75" x14ac:dyDescent="0.2">
      <c r="B807" s="5"/>
      <c r="E807" s="5"/>
      <c r="G807" s="5"/>
      <c r="I807" s="5"/>
      <c r="K807" s="5"/>
      <c r="L807" s="2"/>
    </row>
    <row r="808" spans="2:12" ht="12.75" x14ac:dyDescent="0.2">
      <c r="B808" s="5"/>
      <c r="E808" s="5"/>
      <c r="G808" s="5"/>
      <c r="I808" s="5"/>
      <c r="K808" s="5"/>
      <c r="L808" s="2"/>
    </row>
    <row r="809" spans="2:12" ht="12.75" x14ac:dyDescent="0.2">
      <c r="B809" s="5"/>
      <c r="E809" s="5"/>
      <c r="G809" s="5"/>
      <c r="I809" s="5"/>
      <c r="K809" s="5"/>
      <c r="L809" s="2"/>
    </row>
    <row r="810" spans="2:12" ht="12.75" x14ac:dyDescent="0.2">
      <c r="B810" s="5"/>
      <c r="E810" s="5"/>
      <c r="G810" s="5"/>
      <c r="I810" s="5"/>
      <c r="K810" s="5"/>
      <c r="L810" s="2"/>
    </row>
    <row r="811" spans="2:12" ht="12.75" x14ac:dyDescent="0.2">
      <c r="B811" s="5"/>
      <c r="E811" s="5"/>
      <c r="G811" s="5"/>
      <c r="I811" s="5"/>
      <c r="K811" s="5"/>
      <c r="L811" s="2"/>
    </row>
    <row r="812" spans="2:12" ht="12.75" x14ac:dyDescent="0.2">
      <c r="B812" s="5"/>
      <c r="E812" s="5"/>
      <c r="G812" s="5"/>
      <c r="I812" s="5"/>
      <c r="K812" s="5"/>
      <c r="L812" s="2"/>
    </row>
    <row r="813" spans="2:12" ht="12.75" x14ac:dyDescent="0.2">
      <c r="B813" s="5"/>
      <c r="E813" s="5"/>
      <c r="G813" s="5"/>
      <c r="I813" s="5"/>
      <c r="K813" s="5"/>
      <c r="L813" s="2"/>
    </row>
    <row r="814" spans="2:12" ht="12.75" x14ac:dyDescent="0.2">
      <c r="B814" s="5"/>
      <c r="E814" s="5"/>
      <c r="G814" s="5"/>
      <c r="I814" s="5"/>
      <c r="K814" s="5"/>
      <c r="L814" s="2"/>
    </row>
    <row r="815" spans="2:12" ht="12.75" x14ac:dyDescent="0.2">
      <c r="B815" s="5"/>
      <c r="E815" s="5"/>
      <c r="G815" s="5"/>
      <c r="I815" s="5"/>
      <c r="K815" s="5"/>
      <c r="L815" s="2"/>
    </row>
    <row r="816" spans="2:12" ht="12.75" x14ac:dyDescent="0.2">
      <c r="B816" s="5"/>
      <c r="E816" s="5"/>
      <c r="G816" s="5"/>
      <c r="I816" s="5"/>
      <c r="K816" s="5"/>
      <c r="L816" s="2"/>
    </row>
    <row r="817" spans="2:12" ht="12.75" x14ac:dyDescent="0.2">
      <c r="B817" s="5"/>
      <c r="E817" s="5"/>
      <c r="G817" s="5"/>
      <c r="I817" s="5"/>
      <c r="K817" s="5"/>
      <c r="L817" s="2"/>
    </row>
    <row r="818" spans="2:12" ht="12.75" x14ac:dyDescent="0.2">
      <c r="B818" s="5"/>
      <c r="E818" s="5"/>
      <c r="G818" s="5"/>
      <c r="I818" s="5"/>
      <c r="K818" s="5"/>
      <c r="L818" s="2"/>
    </row>
    <row r="819" spans="2:12" ht="12.75" x14ac:dyDescent="0.2">
      <c r="B819" s="5"/>
      <c r="E819" s="5"/>
      <c r="G819" s="5"/>
      <c r="I819" s="5"/>
      <c r="K819" s="5"/>
      <c r="L819" s="2"/>
    </row>
    <row r="820" spans="2:12" ht="12.75" x14ac:dyDescent="0.2">
      <c r="B820" s="5"/>
      <c r="E820" s="5"/>
      <c r="G820" s="5"/>
      <c r="I820" s="5"/>
      <c r="K820" s="5"/>
      <c r="L820" s="2"/>
    </row>
    <row r="821" spans="2:12" ht="12.75" x14ac:dyDescent="0.2">
      <c r="B821" s="5"/>
      <c r="E821" s="5"/>
      <c r="G821" s="5"/>
      <c r="I821" s="5"/>
      <c r="K821" s="5"/>
      <c r="L821" s="2"/>
    </row>
    <row r="822" spans="2:12" ht="12.75" x14ac:dyDescent="0.2">
      <c r="B822" s="5"/>
      <c r="E822" s="5"/>
      <c r="G822" s="5"/>
      <c r="I822" s="5"/>
      <c r="K822" s="5"/>
      <c r="L822" s="2"/>
    </row>
    <row r="823" spans="2:12" ht="12.75" x14ac:dyDescent="0.2">
      <c r="B823" s="5"/>
      <c r="E823" s="5"/>
      <c r="G823" s="5"/>
      <c r="I823" s="5"/>
      <c r="K823" s="5"/>
      <c r="L823" s="2"/>
    </row>
    <row r="824" spans="2:12" ht="12.75" x14ac:dyDescent="0.2">
      <c r="B824" s="5"/>
      <c r="E824" s="5"/>
      <c r="G824" s="5"/>
      <c r="I824" s="5"/>
      <c r="K824" s="5"/>
      <c r="L824" s="2"/>
    </row>
    <row r="825" spans="2:12" ht="12.75" x14ac:dyDescent="0.2">
      <c r="B825" s="5"/>
      <c r="E825" s="5"/>
      <c r="G825" s="5"/>
      <c r="I825" s="5"/>
      <c r="K825" s="5"/>
      <c r="L825" s="2"/>
    </row>
    <row r="826" spans="2:12" ht="12.75" x14ac:dyDescent="0.2">
      <c r="B826" s="5"/>
      <c r="E826" s="5"/>
      <c r="G826" s="5"/>
      <c r="I826" s="5"/>
      <c r="K826" s="5"/>
      <c r="L826" s="2"/>
    </row>
    <row r="827" spans="2:12" ht="12.75" x14ac:dyDescent="0.2">
      <c r="B827" s="5"/>
      <c r="E827" s="5"/>
      <c r="G827" s="5"/>
      <c r="I827" s="5"/>
      <c r="K827" s="5"/>
      <c r="L827" s="2"/>
    </row>
    <row r="828" spans="2:12" ht="12.75" x14ac:dyDescent="0.2">
      <c r="B828" s="5"/>
      <c r="E828" s="5"/>
      <c r="G828" s="5"/>
      <c r="I828" s="5"/>
      <c r="K828" s="5"/>
      <c r="L828" s="2"/>
    </row>
    <row r="829" spans="2:12" ht="12.75" x14ac:dyDescent="0.2">
      <c r="B829" s="5"/>
      <c r="E829" s="5"/>
      <c r="G829" s="5"/>
      <c r="I829" s="5"/>
      <c r="K829" s="5"/>
      <c r="L829" s="2"/>
    </row>
    <row r="830" spans="2:12" ht="12.75" x14ac:dyDescent="0.2">
      <c r="B830" s="5"/>
      <c r="E830" s="5"/>
      <c r="G830" s="5"/>
      <c r="I830" s="5"/>
      <c r="K830" s="5"/>
      <c r="L830" s="2"/>
    </row>
    <row r="831" spans="2:12" ht="12.75" x14ac:dyDescent="0.2">
      <c r="B831" s="5"/>
      <c r="E831" s="5"/>
      <c r="G831" s="5"/>
      <c r="I831" s="5"/>
      <c r="K831" s="5"/>
      <c r="L831" s="2"/>
    </row>
    <row r="832" spans="2:12" ht="12.75" x14ac:dyDescent="0.2">
      <c r="B832" s="5"/>
      <c r="E832" s="5"/>
      <c r="G832" s="5"/>
      <c r="I832" s="5"/>
      <c r="K832" s="5"/>
      <c r="L832" s="2"/>
    </row>
    <row r="833" spans="2:12" ht="12.75" x14ac:dyDescent="0.2">
      <c r="B833" s="5"/>
      <c r="E833" s="5"/>
      <c r="G833" s="5"/>
      <c r="I833" s="5"/>
      <c r="K833" s="5"/>
      <c r="L833" s="2"/>
    </row>
    <row r="834" spans="2:12" ht="12.75" x14ac:dyDescent="0.2">
      <c r="B834" s="5"/>
      <c r="E834" s="5"/>
      <c r="G834" s="5"/>
      <c r="I834" s="5"/>
      <c r="K834" s="5"/>
      <c r="L834" s="2"/>
    </row>
    <row r="835" spans="2:12" ht="12.75" x14ac:dyDescent="0.2">
      <c r="B835" s="5"/>
      <c r="E835" s="5"/>
      <c r="G835" s="5"/>
      <c r="I835" s="5"/>
      <c r="K835" s="5"/>
      <c r="L835" s="2"/>
    </row>
    <row r="836" spans="2:12" ht="12.75" x14ac:dyDescent="0.2">
      <c r="B836" s="5"/>
      <c r="E836" s="5"/>
      <c r="G836" s="5"/>
      <c r="I836" s="5"/>
      <c r="K836" s="5"/>
      <c r="L836" s="2"/>
    </row>
    <row r="837" spans="2:12" ht="12.75" x14ac:dyDescent="0.2">
      <c r="B837" s="5"/>
      <c r="E837" s="5"/>
      <c r="G837" s="5"/>
      <c r="I837" s="5"/>
      <c r="K837" s="5"/>
      <c r="L837" s="2"/>
    </row>
    <row r="838" spans="2:12" ht="12.75" x14ac:dyDescent="0.2">
      <c r="B838" s="5"/>
      <c r="E838" s="5"/>
      <c r="G838" s="5"/>
      <c r="I838" s="5"/>
      <c r="K838" s="5"/>
      <c r="L838" s="2"/>
    </row>
    <row r="839" spans="2:12" ht="12.75" x14ac:dyDescent="0.2">
      <c r="B839" s="5"/>
      <c r="E839" s="5"/>
      <c r="G839" s="5"/>
      <c r="I839" s="5"/>
      <c r="K839" s="5"/>
      <c r="L839" s="2"/>
    </row>
    <row r="840" spans="2:12" ht="12.75" x14ac:dyDescent="0.2">
      <c r="B840" s="5"/>
      <c r="E840" s="5"/>
      <c r="G840" s="5"/>
      <c r="I840" s="5"/>
      <c r="K840" s="5"/>
      <c r="L840" s="2"/>
    </row>
    <row r="841" spans="2:12" ht="12.75" x14ac:dyDescent="0.2">
      <c r="B841" s="5"/>
      <c r="E841" s="5"/>
      <c r="G841" s="5"/>
      <c r="I841" s="5"/>
      <c r="K841" s="5"/>
      <c r="L841" s="2"/>
    </row>
    <row r="842" spans="2:12" ht="12.75" x14ac:dyDescent="0.2">
      <c r="B842" s="5"/>
      <c r="E842" s="5"/>
      <c r="G842" s="5"/>
      <c r="I842" s="5"/>
      <c r="K842" s="5"/>
      <c r="L842" s="2"/>
    </row>
    <row r="843" spans="2:12" ht="12.75" x14ac:dyDescent="0.2">
      <c r="B843" s="5"/>
      <c r="E843" s="5"/>
      <c r="G843" s="5"/>
      <c r="I843" s="5"/>
      <c r="K843" s="5"/>
      <c r="L843" s="2"/>
    </row>
    <row r="844" spans="2:12" ht="12.75" x14ac:dyDescent="0.2">
      <c r="B844" s="5"/>
      <c r="E844" s="5"/>
      <c r="G844" s="5"/>
      <c r="I844" s="5"/>
      <c r="K844" s="5"/>
      <c r="L844" s="2"/>
    </row>
    <row r="845" spans="2:12" ht="12.75" x14ac:dyDescent="0.2">
      <c r="B845" s="5"/>
      <c r="E845" s="5"/>
      <c r="G845" s="5"/>
      <c r="I845" s="5"/>
      <c r="K845" s="5"/>
      <c r="L845" s="2"/>
    </row>
    <row r="846" spans="2:12" ht="12.75" x14ac:dyDescent="0.2">
      <c r="B846" s="5"/>
      <c r="E846" s="5"/>
      <c r="G846" s="5"/>
      <c r="I846" s="5"/>
      <c r="K846" s="5"/>
      <c r="L846" s="2"/>
    </row>
    <row r="847" spans="2:12" ht="12.75" x14ac:dyDescent="0.2">
      <c r="B847" s="5"/>
      <c r="E847" s="5"/>
      <c r="G847" s="5"/>
      <c r="I847" s="5"/>
      <c r="K847" s="5"/>
      <c r="L847" s="2"/>
    </row>
    <row r="848" spans="2:12" ht="12.75" x14ac:dyDescent="0.2">
      <c r="B848" s="5"/>
      <c r="E848" s="5"/>
      <c r="G848" s="5"/>
      <c r="I848" s="5"/>
      <c r="K848" s="5"/>
      <c r="L848" s="2"/>
    </row>
    <row r="849" spans="2:12" ht="12.75" x14ac:dyDescent="0.2">
      <c r="B849" s="5"/>
      <c r="E849" s="5"/>
      <c r="G849" s="5"/>
      <c r="I849" s="5"/>
      <c r="K849" s="5"/>
      <c r="L849" s="2"/>
    </row>
    <row r="850" spans="2:12" ht="12.75" x14ac:dyDescent="0.2">
      <c r="B850" s="5"/>
      <c r="E850" s="5"/>
      <c r="G850" s="5"/>
      <c r="I850" s="5"/>
      <c r="K850" s="5"/>
      <c r="L850" s="2"/>
    </row>
    <row r="851" spans="2:12" ht="12.75" x14ac:dyDescent="0.2">
      <c r="B851" s="5"/>
      <c r="E851" s="5"/>
      <c r="G851" s="5"/>
      <c r="I851" s="5"/>
      <c r="K851" s="5"/>
      <c r="L851" s="2"/>
    </row>
    <row r="852" spans="2:12" ht="12.75" x14ac:dyDescent="0.2">
      <c r="B852" s="5"/>
      <c r="E852" s="5"/>
      <c r="G852" s="5"/>
      <c r="I852" s="5"/>
      <c r="K852" s="5"/>
      <c r="L852" s="2"/>
    </row>
    <row r="853" spans="2:12" ht="12.75" x14ac:dyDescent="0.2">
      <c r="B853" s="5"/>
      <c r="E853" s="5"/>
      <c r="G853" s="5"/>
      <c r="I853" s="5"/>
      <c r="K853" s="5"/>
      <c r="L853" s="2"/>
    </row>
    <row r="854" spans="2:12" ht="12.75" x14ac:dyDescent="0.2">
      <c r="B854" s="5"/>
      <c r="E854" s="5"/>
      <c r="G854" s="5"/>
      <c r="I854" s="5"/>
      <c r="K854" s="5"/>
      <c r="L854" s="2"/>
    </row>
    <row r="855" spans="2:12" ht="12.75" x14ac:dyDescent="0.2">
      <c r="B855" s="5"/>
      <c r="E855" s="5"/>
      <c r="G855" s="5"/>
      <c r="I855" s="5"/>
      <c r="K855" s="5"/>
      <c r="L855" s="2"/>
    </row>
    <row r="856" spans="2:12" ht="12.75" x14ac:dyDescent="0.2">
      <c r="B856" s="5"/>
      <c r="E856" s="5"/>
      <c r="G856" s="5"/>
      <c r="I856" s="5"/>
      <c r="K856" s="5"/>
      <c r="L856" s="2"/>
    </row>
    <row r="857" spans="2:12" ht="12.75" x14ac:dyDescent="0.2">
      <c r="B857" s="5"/>
      <c r="E857" s="5"/>
      <c r="G857" s="5"/>
      <c r="I857" s="5"/>
      <c r="K857" s="5"/>
      <c r="L857" s="2"/>
    </row>
    <row r="858" spans="2:12" ht="12.75" x14ac:dyDescent="0.2">
      <c r="B858" s="5"/>
      <c r="E858" s="5"/>
      <c r="G858" s="5"/>
      <c r="I858" s="5"/>
      <c r="K858" s="5"/>
      <c r="L858" s="2"/>
    </row>
    <row r="859" spans="2:12" ht="12.75" x14ac:dyDescent="0.2">
      <c r="B859" s="5"/>
      <c r="E859" s="5"/>
      <c r="G859" s="5"/>
      <c r="I859" s="5"/>
      <c r="K859" s="5"/>
      <c r="L859" s="2"/>
    </row>
    <row r="860" spans="2:12" ht="12.75" x14ac:dyDescent="0.2">
      <c r="B860" s="5"/>
      <c r="E860" s="5"/>
      <c r="G860" s="5"/>
      <c r="I860" s="5"/>
      <c r="K860" s="5"/>
      <c r="L860" s="2"/>
    </row>
    <row r="861" spans="2:12" ht="12.75" x14ac:dyDescent="0.2">
      <c r="B861" s="5"/>
      <c r="E861" s="5"/>
      <c r="G861" s="5"/>
      <c r="I861" s="5"/>
      <c r="K861" s="5"/>
      <c r="L861" s="2"/>
    </row>
    <row r="862" spans="2:12" ht="12.75" x14ac:dyDescent="0.2">
      <c r="B862" s="5"/>
      <c r="E862" s="5"/>
      <c r="G862" s="5"/>
      <c r="I862" s="5"/>
      <c r="K862" s="5"/>
      <c r="L862" s="2"/>
    </row>
    <row r="863" spans="2:12" ht="12.75" x14ac:dyDescent="0.2">
      <c r="B863" s="5"/>
      <c r="E863" s="5"/>
      <c r="G863" s="5"/>
      <c r="I863" s="5"/>
      <c r="K863" s="5"/>
      <c r="L863" s="2"/>
    </row>
    <row r="864" spans="2:12" ht="12.75" x14ac:dyDescent="0.2">
      <c r="B864" s="5"/>
      <c r="E864" s="5"/>
      <c r="G864" s="5"/>
      <c r="I864" s="5"/>
      <c r="K864" s="5"/>
      <c r="L864" s="2"/>
    </row>
    <row r="865" spans="2:12" ht="12.75" x14ac:dyDescent="0.2">
      <c r="B865" s="5"/>
      <c r="E865" s="5"/>
      <c r="G865" s="5"/>
      <c r="I865" s="5"/>
      <c r="K865" s="5"/>
      <c r="L865" s="2"/>
    </row>
    <row r="866" spans="2:12" ht="12.75" x14ac:dyDescent="0.2">
      <c r="B866" s="5"/>
      <c r="E866" s="5"/>
      <c r="G866" s="5"/>
      <c r="I866" s="5"/>
      <c r="K866" s="5"/>
      <c r="L866" s="2"/>
    </row>
    <row r="867" spans="2:12" ht="12.75" x14ac:dyDescent="0.2">
      <c r="B867" s="5"/>
      <c r="E867" s="5"/>
      <c r="G867" s="5"/>
      <c r="I867" s="5"/>
      <c r="K867" s="5"/>
      <c r="L867" s="2"/>
    </row>
    <row r="868" spans="2:12" ht="12.75" x14ac:dyDescent="0.2">
      <c r="B868" s="5"/>
      <c r="E868" s="5"/>
      <c r="G868" s="5"/>
      <c r="I868" s="5"/>
      <c r="K868" s="5"/>
      <c r="L868" s="2"/>
    </row>
    <row r="869" spans="2:12" ht="12.75" x14ac:dyDescent="0.2">
      <c r="B869" s="5"/>
      <c r="E869" s="5"/>
      <c r="G869" s="5"/>
      <c r="I869" s="5"/>
      <c r="K869" s="5"/>
      <c r="L869" s="2"/>
    </row>
    <row r="870" spans="2:12" ht="12.75" x14ac:dyDescent="0.2">
      <c r="B870" s="5"/>
      <c r="E870" s="5"/>
      <c r="G870" s="5"/>
      <c r="I870" s="5"/>
      <c r="K870" s="5"/>
      <c r="L870" s="2"/>
    </row>
    <row r="871" spans="2:12" ht="12.75" x14ac:dyDescent="0.2">
      <c r="B871" s="5"/>
      <c r="E871" s="5"/>
      <c r="G871" s="5"/>
      <c r="I871" s="5"/>
      <c r="K871" s="5"/>
      <c r="L871" s="2"/>
    </row>
    <row r="872" spans="2:12" ht="12.75" x14ac:dyDescent="0.2">
      <c r="B872" s="5"/>
      <c r="E872" s="5"/>
      <c r="G872" s="5"/>
      <c r="I872" s="5"/>
      <c r="K872" s="5"/>
      <c r="L872" s="2"/>
    </row>
    <row r="873" spans="2:12" ht="12.75" x14ac:dyDescent="0.2">
      <c r="B873" s="5"/>
      <c r="E873" s="5"/>
      <c r="G873" s="5"/>
      <c r="I873" s="5"/>
      <c r="K873" s="5"/>
      <c r="L873" s="2"/>
    </row>
    <row r="874" spans="2:12" ht="12.75" x14ac:dyDescent="0.2">
      <c r="B874" s="5"/>
      <c r="E874" s="5"/>
      <c r="G874" s="5"/>
      <c r="I874" s="5"/>
      <c r="K874" s="5"/>
      <c r="L874" s="2"/>
    </row>
    <row r="875" spans="2:12" ht="12.75" x14ac:dyDescent="0.2">
      <c r="B875" s="5"/>
      <c r="E875" s="5"/>
      <c r="G875" s="5"/>
      <c r="I875" s="5"/>
      <c r="K875" s="5"/>
      <c r="L875" s="2"/>
    </row>
    <row r="876" spans="2:12" ht="12.75" x14ac:dyDescent="0.2">
      <c r="B876" s="5"/>
      <c r="E876" s="5"/>
      <c r="G876" s="5"/>
      <c r="I876" s="5"/>
      <c r="K876" s="5"/>
      <c r="L876" s="2"/>
    </row>
    <row r="877" spans="2:12" ht="12.75" x14ac:dyDescent="0.2">
      <c r="B877" s="5"/>
      <c r="E877" s="5"/>
      <c r="G877" s="5"/>
      <c r="I877" s="5"/>
      <c r="K877" s="5"/>
      <c r="L877" s="2"/>
    </row>
    <row r="878" spans="2:12" ht="12.75" x14ac:dyDescent="0.2">
      <c r="B878" s="5"/>
      <c r="E878" s="5"/>
      <c r="G878" s="5"/>
      <c r="I878" s="5"/>
      <c r="K878" s="5"/>
      <c r="L878" s="2"/>
    </row>
    <row r="879" spans="2:12" ht="12.75" x14ac:dyDescent="0.2">
      <c r="B879" s="5"/>
      <c r="E879" s="5"/>
      <c r="G879" s="5"/>
      <c r="I879" s="5"/>
      <c r="K879" s="5"/>
      <c r="L879" s="2"/>
    </row>
    <row r="880" spans="2:12" ht="12.75" x14ac:dyDescent="0.2">
      <c r="B880" s="5"/>
      <c r="E880" s="5"/>
      <c r="G880" s="5"/>
      <c r="I880" s="5"/>
      <c r="K880" s="5"/>
      <c r="L880" s="2"/>
    </row>
    <row r="881" spans="2:12" ht="12.75" x14ac:dyDescent="0.2">
      <c r="B881" s="5"/>
      <c r="E881" s="5"/>
      <c r="G881" s="5"/>
      <c r="I881" s="5"/>
      <c r="K881" s="5"/>
      <c r="L881" s="2"/>
    </row>
    <row r="882" spans="2:12" ht="12.75" x14ac:dyDescent="0.2">
      <c r="B882" s="5"/>
      <c r="E882" s="5"/>
      <c r="G882" s="5"/>
      <c r="I882" s="5"/>
      <c r="K882" s="5"/>
      <c r="L882" s="2"/>
    </row>
    <row r="883" spans="2:12" ht="12.75" x14ac:dyDescent="0.2">
      <c r="B883" s="5"/>
      <c r="E883" s="5"/>
      <c r="G883" s="5"/>
      <c r="I883" s="5"/>
      <c r="K883" s="5"/>
      <c r="L883" s="2"/>
    </row>
    <row r="884" spans="2:12" ht="12.75" x14ac:dyDescent="0.2">
      <c r="B884" s="5"/>
      <c r="E884" s="5"/>
      <c r="G884" s="5"/>
      <c r="I884" s="5"/>
      <c r="K884" s="5"/>
      <c r="L884" s="2"/>
    </row>
    <row r="885" spans="2:12" ht="12.75" x14ac:dyDescent="0.2">
      <c r="B885" s="5"/>
      <c r="E885" s="5"/>
      <c r="G885" s="5"/>
      <c r="I885" s="5"/>
      <c r="K885" s="5"/>
      <c r="L885" s="2"/>
    </row>
    <row r="886" spans="2:12" ht="12.75" x14ac:dyDescent="0.2">
      <c r="B886" s="5"/>
      <c r="E886" s="5"/>
      <c r="G886" s="5"/>
      <c r="I886" s="5"/>
      <c r="K886" s="5"/>
      <c r="L886" s="2"/>
    </row>
    <row r="887" spans="2:12" ht="12.75" x14ac:dyDescent="0.2">
      <c r="B887" s="5"/>
      <c r="E887" s="5"/>
      <c r="G887" s="5"/>
      <c r="I887" s="5"/>
      <c r="K887" s="5"/>
      <c r="L887" s="2"/>
    </row>
    <row r="888" spans="2:12" ht="12.75" x14ac:dyDescent="0.2">
      <c r="B888" s="5"/>
      <c r="E888" s="5"/>
      <c r="G888" s="5"/>
      <c r="I888" s="5"/>
      <c r="K888" s="5"/>
      <c r="L888" s="2"/>
    </row>
    <row r="889" spans="2:12" ht="12.75" x14ac:dyDescent="0.2">
      <c r="B889" s="5"/>
      <c r="E889" s="5"/>
      <c r="G889" s="5"/>
      <c r="I889" s="5"/>
      <c r="K889" s="5"/>
      <c r="L889" s="2"/>
    </row>
    <row r="890" spans="2:12" ht="12.75" x14ac:dyDescent="0.2">
      <c r="B890" s="5"/>
      <c r="E890" s="5"/>
      <c r="G890" s="5"/>
      <c r="I890" s="5"/>
      <c r="K890" s="5"/>
      <c r="L890" s="2"/>
    </row>
    <row r="891" spans="2:12" ht="12.75" x14ac:dyDescent="0.2">
      <c r="B891" s="5"/>
      <c r="E891" s="5"/>
      <c r="G891" s="5"/>
      <c r="I891" s="5"/>
      <c r="K891" s="5"/>
      <c r="L891" s="2"/>
    </row>
    <row r="892" spans="2:12" ht="12.75" x14ac:dyDescent="0.2">
      <c r="B892" s="5"/>
      <c r="E892" s="5"/>
      <c r="G892" s="5"/>
      <c r="I892" s="5"/>
      <c r="K892" s="5"/>
      <c r="L892" s="2"/>
    </row>
    <row r="893" spans="2:12" ht="12.75" x14ac:dyDescent="0.2">
      <c r="B893" s="5"/>
      <c r="E893" s="5"/>
      <c r="G893" s="5"/>
      <c r="I893" s="5"/>
      <c r="K893" s="5"/>
      <c r="L893" s="2"/>
    </row>
    <row r="894" spans="2:12" ht="12.75" x14ac:dyDescent="0.2">
      <c r="B894" s="5"/>
      <c r="E894" s="5"/>
      <c r="G894" s="5"/>
      <c r="I894" s="5"/>
      <c r="K894" s="5"/>
      <c r="L894" s="2"/>
    </row>
    <row r="895" spans="2:12" ht="12.75" x14ac:dyDescent="0.2">
      <c r="B895" s="5"/>
      <c r="E895" s="5"/>
      <c r="G895" s="5"/>
      <c r="I895" s="5"/>
      <c r="K895" s="5"/>
      <c r="L895" s="2"/>
    </row>
    <row r="896" spans="2:12" ht="12.75" x14ac:dyDescent="0.2">
      <c r="B896" s="5"/>
      <c r="E896" s="5"/>
      <c r="G896" s="5"/>
      <c r="I896" s="5"/>
      <c r="K896" s="5"/>
      <c r="L896" s="2"/>
    </row>
    <row r="897" spans="2:12" ht="12.75" x14ac:dyDescent="0.2">
      <c r="B897" s="5"/>
      <c r="E897" s="5"/>
      <c r="G897" s="5"/>
      <c r="I897" s="5"/>
      <c r="K897" s="5"/>
      <c r="L897" s="2"/>
    </row>
    <row r="898" spans="2:12" ht="12.75" x14ac:dyDescent="0.2">
      <c r="B898" s="5"/>
      <c r="E898" s="5"/>
      <c r="G898" s="5"/>
      <c r="I898" s="5"/>
      <c r="K898" s="5"/>
      <c r="L898" s="2"/>
    </row>
    <row r="899" spans="2:12" ht="12.75" x14ac:dyDescent="0.2">
      <c r="B899" s="5"/>
      <c r="E899" s="5"/>
      <c r="G899" s="5"/>
      <c r="I899" s="5"/>
      <c r="K899" s="5"/>
      <c r="L899" s="2"/>
    </row>
    <row r="900" spans="2:12" ht="12.75" x14ac:dyDescent="0.2">
      <c r="B900" s="5"/>
      <c r="E900" s="5"/>
      <c r="G900" s="5"/>
      <c r="I900" s="5"/>
      <c r="K900" s="5"/>
      <c r="L900" s="2"/>
    </row>
    <row r="901" spans="2:12" ht="12.75" x14ac:dyDescent="0.2">
      <c r="B901" s="5"/>
      <c r="E901" s="5"/>
      <c r="G901" s="5"/>
      <c r="I901" s="5"/>
      <c r="K901" s="5"/>
      <c r="L901" s="2"/>
    </row>
    <row r="902" spans="2:12" ht="12.75" x14ac:dyDescent="0.2">
      <c r="B902" s="5"/>
      <c r="E902" s="5"/>
      <c r="G902" s="5"/>
      <c r="I902" s="5"/>
      <c r="K902" s="5"/>
      <c r="L902" s="2"/>
    </row>
    <row r="903" spans="2:12" ht="12.75" x14ac:dyDescent="0.2">
      <c r="B903" s="5"/>
      <c r="E903" s="5"/>
      <c r="G903" s="5"/>
      <c r="I903" s="5"/>
      <c r="K903" s="5"/>
      <c r="L903" s="2"/>
    </row>
    <row r="904" spans="2:12" ht="12.75" x14ac:dyDescent="0.2">
      <c r="B904" s="5"/>
      <c r="E904" s="5"/>
      <c r="G904" s="5"/>
      <c r="I904" s="5"/>
      <c r="K904" s="5"/>
      <c r="L904" s="2"/>
    </row>
    <row r="905" spans="2:12" ht="12.75" x14ac:dyDescent="0.2">
      <c r="B905" s="5"/>
      <c r="E905" s="5"/>
      <c r="G905" s="5"/>
      <c r="I905" s="5"/>
      <c r="K905" s="5"/>
      <c r="L905" s="2"/>
    </row>
    <row r="906" spans="2:12" ht="12.75" x14ac:dyDescent="0.2">
      <c r="B906" s="5"/>
      <c r="E906" s="5"/>
      <c r="G906" s="5"/>
      <c r="I906" s="5"/>
      <c r="K906" s="5"/>
      <c r="L906" s="2"/>
    </row>
    <row r="907" spans="2:12" ht="12.75" x14ac:dyDescent="0.2">
      <c r="B907" s="5"/>
      <c r="E907" s="5"/>
      <c r="G907" s="5"/>
      <c r="I907" s="5"/>
      <c r="K907" s="5"/>
      <c r="L907" s="2"/>
    </row>
    <row r="908" spans="2:12" ht="12.75" x14ac:dyDescent="0.2">
      <c r="B908" s="5"/>
      <c r="E908" s="5"/>
      <c r="G908" s="5"/>
      <c r="I908" s="5"/>
      <c r="K908" s="5"/>
      <c r="L908" s="2"/>
    </row>
    <row r="909" spans="2:12" ht="12.75" x14ac:dyDescent="0.2">
      <c r="B909" s="5"/>
      <c r="E909" s="5"/>
      <c r="G909" s="5"/>
      <c r="I909" s="5"/>
      <c r="K909" s="5"/>
      <c r="L909" s="2"/>
    </row>
    <row r="910" spans="2:12" ht="12.75" x14ac:dyDescent="0.2">
      <c r="B910" s="5"/>
      <c r="E910" s="5"/>
      <c r="G910" s="5"/>
      <c r="I910" s="5"/>
      <c r="K910" s="5"/>
      <c r="L910" s="2"/>
    </row>
    <row r="911" spans="2:12" ht="12.75" x14ac:dyDescent="0.2">
      <c r="B911" s="5"/>
      <c r="E911" s="5"/>
      <c r="G911" s="5"/>
      <c r="I911" s="5"/>
      <c r="K911" s="5"/>
      <c r="L911" s="2"/>
    </row>
    <row r="912" spans="2:12" ht="12.75" x14ac:dyDescent="0.2">
      <c r="B912" s="5"/>
      <c r="E912" s="5"/>
      <c r="G912" s="5"/>
      <c r="I912" s="5"/>
      <c r="K912" s="5"/>
      <c r="L912" s="2"/>
    </row>
    <row r="913" spans="2:12" ht="12.75" x14ac:dyDescent="0.2">
      <c r="B913" s="5"/>
      <c r="E913" s="5"/>
      <c r="G913" s="5"/>
      <c r="I913" s="5"/>
      <c r="K913" s="5"/>
      <c r="L913" s="2"/>
    </row>
    <row r="914" spans="2:12" ht="12.75" x14ac:dyDescent="0.2">
      <c r="B914" s="5"/>
      <c r="E914" s="5"/>
      <c r="G914" s="5"/>
      <c r="I914" s="5"/>
      <c r="K914" s="5"/>
      <c r="L914" s="2"/>
    </row>
    <row r="915" spans="2:12" ht="12.75" x14ac:dyDescent="0.2">
      <c r="B915" s="5"/>
      <c r="E915" s="5"/>
      <c r="G915" s="5"/>
      <c r="I915" s="5"/>
      <c r="K915" s="5"/>
      <c r="L915" s="2"/>
    </row>
    <row r="916" spans="2:12" ht="12.75" x14ac:dyDescent="0.2">
      <c r="B916" s="5"/>
      <c r="E916" s="5"/>
      <c r="G916" s="5"/>
      <c r="I916" s="5"/>
      <c r="K916" s="5"/>
      <c r="L916" s="2"/>
    </row>
    <row r="917" spans="2:12" ht="12.75" x14ac:dyDescent="0.2">
      <c r="B917" s="5"/>
      <c r="E917" s="5"/>
      <c r="G917" s="5"/>
      <c r="I917" s="5"/>
      <c r="K917" s="5"/>
      <c r="L917" s="2"/>
    </row>
    <row r="918" spans="2:12" ht="12.75" x14ac:dyDescent="0.2">
      <c r="B918" s="5"/>
      <c r="E918" s="5"/>
      <c r="G918" s="5"/>
      <c r="I918" s="5"/>
      <c r="K918" s="5"/>
      <c r="L918" s="2"/>
    </row>
    <row r="919" spans="2:12" ht="12.75" x14ac:dyDescent="0.2">
      <c r="B919" s="5"/>
      <c r="E919" s="5"/>
      <c r="G919" s="5"/>
      <c r="I919" s="5"/>
      <c r="K919" s="5"/>
      <c r="L919" s="2"/>
    </row>
    <row r="920" spans="2:12" ht="12.75" x14ac:dyDescent="0.2">
      <c r="B920" s="5"/>
      <c r="E920" s="5"/>
      <c r="G920" s="5"/>
      <c r="I920" s="5"/>
      <c r="K920" s="5"/>
      <c r="L920" s="2"/>
    </row>
    <row r="921" spans="2:12" ht="12.75" x14ac:dyDescent="0.2">
      <c r="B921" s="5"/>
      <c r="E921" s="5"/>
      <c r="G921" s="5"/>
      <c r="I921" s="5"/>
      <c r="K921" s="5"/>
      <c r="L921" s="2"/>
    </row>
    <row r="922" spans="2:12" ht="12.75" x14ac:dyDescent="0.2">
      <c r="B922" s="5"/>
      <c r="E922" s="5"/>
      <c r="G922" s="5"/>
      <c r="I922" s="5"/>
      <c r="K922" s="5"/>
      <c r="L922" s="2"/>
    </row>
    <row r="923" spans="2:12" ht="12.75" x14ac:dyDescent="0.2">
      <c r="B923" s="5"/>
      <c r="E923" s="5"/>
      <c r="G923" s="5"/>
      <c r="I923" s="5"/>
      <c r="K923" s="5"/>
      <c r="L923" s="2"/>
    </row>
    <row r="924" spans="2:12" ht="12.75" x14ac:dyDescent="0.2">
      <c r="B924" s="5"/>
      <c r="E924" s="5"/>
      <c r="G924" s="5"/>
      <c r="I924" s="5"/>
      <c r="K924" s="5"/>
      <c r="L924" s="2"/>
    </row>
    <row r="925" spans="2:12" ht="12.75" x14ac:dyDescent="0.2">
      <c r="B925" s="5"/>
      <c r="E925" s="5"/>
      <c r="G925" s="5"/>
      <c r="I925" s="5"/>
      <c r="K925" s="5"/>
      <c r="L925" s="2"/>
    </row>
    <row r="926" spans="2:12" ht="12.75" x14ac:dyDescent="0.2">
      <c r="B926" s="5"/>
      <c r="E926" s="5"/>
      <c r="G926" s="5"/>
      <c r="I926" s="5"/>
      <c r="K926" s="5"/>
      <c r="L926" s="2"/>
    </row>
    <row r="927" spans="2:12" ht="12.75" x14ac:dyDescent="0.2">
      <c r="B927" s="5"/>
      <c r="E927" s="5"/>
      <c r="G927" s="5"/>
      <c r="I927" s="5"/>
      <c r="K927" s="5"/>
      <c r="L927" s="2"/>
    </row>
    <row r="928" spans="2:12" ht="12.75" x14ac:dyDescent="0.2">
      <c r="B928" s="5"/>
      <c r="E928" s="5"/>
      <c r="G928" s="5"/>
      <c r="I928" s="5"/>
      <c r="K928" s="5"/>
      <c r="L928" s="2"/>
    </row>
    <row r="929" spans="2:12" ht="12.75" x14ac:dyDescent="0.2">
      <c r="B929" s="5"/>
      <c r="E929" s="5"/>
      <c r="G929" s="5"/>
      <c r="I929" s="5"/>
      <c r="K929" s="5"/>
      <c r="L929" s="2"/>
    </row>
    <row r="930" spans="2:12" ht="12.75" x14ac:dyDescent="0.2">
      <c r="B930" s="5"/>
      <c r="E930" s="5"/>
      <c r="G930" s="5"/>
      <c r="I930" s="5"/>
      <c r="K930" s="5"/>
      <c r="L930" s="2"/>
    </row>
    <row r="931" spans="2:12" ht="12.75" x14ac:dyDescent="0.2">
      <c r="B931" s="5"/>
      <c r="E931" s="5"/>
      <c r="G931" s="5"/>
      <c r="I931" s="5"/>
      <c r="K931" s="5"/>
      <c r="L931" s="2"/>
    </row>
    <row r="932" spans="2:12" ht="12.75" x14ac:dyDescent="0.2">
      <c r="B932" s="5"/>
      <c r="E932" s="5"/>
      <c r="G932" s="5"/>
      <c r="I932" s="5"/>
      <c r="K932" s="5"/>
      <c r="L932" s="2"/>
    </row>
    <row r="933" spans="2:12" ht="12.75" x14ac:dyDescent="0.2">
      <c r="B933" s="5"/>
      <c r="E933" s="5"/>
      <c r="G933" s="5"/>
      <c r="I933" s="5"/>
      <c r="K933" s="5"/>
      <c r="L933" s="2"/>
    </row>
    <row r="934" spans="2:12" ht="12.75" x14ac:dyDescent="0.2">
      <c r="B934" s="5"/>
      <c r="E934" s="5"/>
      <c r="G934" s="5"/>
      <c r="I934" s="5"/>
      <c r="K934" s="5"/>
      <c r="L934" s="2"/>
    </row>
    <row r="935" spans="2:12" ht="12.75" x14ac:dyDescent="0.2">
      <c r="B935" s="5"/>
      <c r="E935" s="5"/>
      <c r="G935" s="5"/>
      <c r="I935" s="5"/>
      <c r="K935" s="5"/>
      <c r="L935" s="2"/>
    </row>
    <row r="936" spans="2:12" ht="12.75" x14ac:dyDescent="0.2">
      <c r="B936" s="5"/>
      <c r="E936" s="5"/>
      <c r="G936" s="5"/>
      <c r="I936" s="5"/>
      <c r="K936" s="5"/>
      <c r="L936" s="2"/>
    </row>
    <row r="937" spans="2:12" ht="12.75" x14ac:dyDescent="0.2">
      <c r="B937" s="5"/>
      <c r="E937" s="5"/>
      <c r="G937" s="5"/>
      <c r="I937" s="5"/>
      <c r="K937" s="5"/>
      <c r="L937" s="2"/>
    </row>
    <row r="938" spans="2:12" ht="12.75" x14ac:dyDescent="0.2">
      <c r="B938" s="5"/>
      <c r="E938" s="5"/>
      <c r="G938" s="5"/>
      <c r="I938" s="5"/>
      <c r="K938" s="5"/>
      <c r="L938" s="2"/>
    </row>
    <row r="939" spans="2:12" ht="12.75" x14ac:dyDescent="0.2">
      <c r="B939" s="5"/>
      <c r="E939" s="5"/>
      <c r="G939" s="5"/>
      <c r="I939" s="5"/>
      <c r="K939" s="5"/>
      <c r="L939" s="2"/>
    </row>
    <row r="940" spans="2:12" ht="12.75" x14ac:dyDescent="0.2">
      <c r="B940" s="5"/>
      <c r="E940" s="5"/>
      <c r="G940" s="5"/>
      <c r="I940" s="5"/>
      <c r="K940" s="5"/>
      <c r="L940" s="2"/>
    </row>
    <row r="941" spans="2:12" ht="12.75" x14ac:dyDescent="0.2">
      <c r="B941" s="5"/>
      <c r="E941" s="5"/>
      <c r="G941" s="5"/>
      <c r="I941" s="5"/>
      <c r="K941" s="5"/>
      <c r="L941" s="2"/>
    </row>
    <row r="942" spans="2:12" ht="12.75" x14ac:dyDescent="0.2">
      <c r="B942" s="5"/>
      <c r="E942" s="5"/>
      <c r="G942" s="5"/>
      <c r="I942" s="5"/>
      <c r="K942" s="5"/>
      <c r="L942" s="2"/>
    </row>
    <row r="943" spans="2:12" ht="12.75" x14ac:dyDescent="0.2">
      <c r="B943" s="5"/>
      <c r="E943" s="5"/>
      <c r="G943" s="5"/>
      <c r="I943" s="5"/>
      <c r="K943" s="5"/>
      <c r="L943" s="2"/>
    </row>
    <row r="944" spans="2:12" ht="12.75" x14ac:dyDescent="0.2">
      <c r="B944" s="5"/>
      <c r="E944" s="5"/>
      <c r="G944" s="5"/>
      <c r="I944" s="5"/>
      <c r="K944" s="5"/>
      <c r="L944" s="2"/>
    </row>
    <row r="945" spans="2:12" ht="12.75" x14ac:dyDescent="0.2">
      <c r="B945" s="5"/>
      <c r="E945" s="5"/>
      <c r="G945" s="5"/>
      <c r="I945" s="5"/>
      <c r="K945" s="5"/>
      <c r="L945" s="2"/>
    </row>
    <row r="946" spans="2:12" ht="12.75" x14ac:dyDescent="0.2">
      <c r="B946" s="5"/>
      <c r="E946" s="5"/>
      <c r="G946" s="5"/>
      <c r="I946" s="5"/>
      <c r="K946" s="5"/>
      <c r="L946" s="2"/>
    </row>
    <row r="947" spans="2:12" ht="12.75" x14ac:dyDescent="0.2">
      <c r="B947" s="5"/>
      <c r="E947" s="5"/>
      <c r="G947" s="5"/>
      <c r="I947" s="5"/>
      <c r="K947" s="5"/>
      <c r="L947" s="2"/>
    </row>
    <row r="948" spans="2:12" ht="12.75" x14ac:dyDescent="0.2">
      <c r="B948" s="5"/>
      <c r="E948" s="5"/>
      <c r="G948" s="5"/>
      <c r="I948" s="5"/>
      <c r="K948" s="5"/>
      <c r="L948" s="2"/>
    </row>
    <row r="949" spans="2:12" ht="12.75" x14ac:dyDescent="0.2">
      <c r="B949" s="5"/>
      <c r="E949" s="5"/>
      <c r="G949" s="5"/>
      <c r="I949" s="5"/>
      <c r="K949" s="5"/>
      <c r="L949" s="2"/>
    </row>
    <row r="950" spans="2:12" ht="12.75" x14ac:dyDescent="0.2">
      <c r="B950" s="5"/>
      <c r="E950" s="5"/>
      <c r="G950" s="5"/>
      <c r="I950" s="5"/>
      <c r="K950" s="5"/>
      <c r="L950" s="2"/>
    </row>
    <row r="951" spans="2:12" ht="12.75" x14ac:dyDescent="0.2">
      <c r="B951" s="5"/>
      <c r="E951" s="5"/>
      <c r="G951" s="5"/>
      <c r="I951" s="5"/>
      <c r="K951" s="5"/>
      <c r="L951" s="2"/>
    </row>
    <row r="952" spans="2:12" ht="12.75" x14ac:dyDescent="0.2">
      <c r="B952" s="5"/>
      <c r="E952" s="5"/>
      <c r="G952" s="5"/>
      <c r="I952" s="5"/>
      <c r="K952" s="5"/>
      <c r="L952" s="2"/>
    </row>
  </sheetData>
  <dataValidations count="1">
    <dataValidation type="list" allowBlank="1" showErrorMessage="1" sqref="B2:B103 E2:E103 G2:G103 I2:I103 K2:K103" xr:uid="{00000000-0002-0000-0200-000000000000}">
      <formula1>"yes, fully,yes, partially,no, barely,not at all,I am not able to answer this question"</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K1000"/>
  <sheetViews>
    <sheetView workbookViewId="0">
      <selection activeCell="E2" sqref="E2"/>
    </sheetView>
  </sheetViews>
  <sheetFormatPr defaultColWidth="12.5703125" defaultRowHeight="15.75" customHeight="1" x14ac:dyDescent="0.2"/>
  <sheetData>
    <row r="1" spans="1:11" ht="19.5" customHeight="1" x14ac:dyDescent="0.2">
      <c r="A1" s="12" t="s">
        <v>300</v>
      </c>
      <c r="B1" s="12" t="s">
        <v>301</v>
      </c>
      <c r="C1" s="12" t="s">
        <v>302</v>
      </c>
      <c r="D1" s="12" t="s">
        <v>303</v>
      </c>
      <c r="E1" s="12" t="s">
        <v>304</v>
      </c>
      <c r="F1" s="12" t="s">
        <v>305</v>
      </c>
      <c r="G1" s="12" t="s">
        <v>306</v>
      </c>
      <c r="H1" s="12" t="s">
        <v>307</v>
      </c>
      <c r="I1" s="12" t="s">
        <v>308</v>
      </c>
      <c r="J1" s="12" t="s">
        <v>309</v>
      </c>
      <c r="K1" s="12" t="s">
        <v>310</v>
      </c>
    </row>
    <row r="2" spans="1:11" ht="19.5" customHeight="1" x14ac:dyDescent="0.25">
      <c r="A2" s="13" t="s">
        <v>311</v>
      </c>
      <c r="B2" s="13" t="s">
        <v>312</v>
      </c>
      <c r="C2" s="13" t="s">
        <v>313</v>
      </c>
      <c r="D2" s="14" t="s">
        <v>314</v>
      </c>
      <c r="E2" s="13" t="s">
        <v>315</v>
      </c>
      <c r="F2" s="14">
        <v>5</v>
      </c>
      <c r="G2" s="14">
        <v>1</v>
      </c>
      <c r="H2" s="13" t="s">
        <v>316</v>
      </c>
      <c r="I2" s="13" t="s">
        <v>317</v>
      </c>
      <c r="J2" s="13" t="s">
        <v>318</v>
      </c>
      <c r="K2" s="13" t="s">
        <v>319</v>
      </c>
    </row>
    <row r="3" spans="1:11" ht="19.5" customHeight="1" x14ac:dyDescent="0.25">
      <c r="A3" s="13" t="s">
        <v>320</v>
      </c>
      <c r="B3" s="13" t="s">
        <v>312</v>
      </c>
      <c r="C3" s="13" t="s">
        <v>313</v>
      </c>
      <c r="D3" s="14" t="s">
        <v>314</v>
      </c>
      <c r="E3" s="13" t="s">
        <v>315</v>
      </c>
      <c r="F3" s="14">
        <v>5</v>
      </c>
      <c r="G3" s="14">
        <v>1</v>
      </c>
      <c r="H3" s="13" t="s">
        <v>316</v>
      </c>
      <c r="I3" s="13" t="s">
        <v>317</v>
      </c>
      <c r="J3" s="13" t="s">
        <v>321</v>
      </c>
      <c r="K3" s="13" t="s">
        <v>322</v>
      </c>
    </row>
    <row r="4" spans="1:11" ht="19.5" customHeight="1" x14ac:dyDescent="0.25">
      <c r="A4" s="13" t="s">
        <v>211</v>
      </c>
      <c r="B4" s="13" t="s">
        <v>312</v>
      </c>
      <c r="C4" s="13" t="s">
        <v>313</v>
      </c>
      <c r="D4" s="14" t="s">
        <v>314</v>
      </c>
      <c r="E4" s="13" t="s">
        <v>315</v>
      </c>
      <c r="F4" s="14">
        <v>5</v>
      </c>
      <c r="G4" s="14">
        <v>1</v>
      </c>
      <c r="H4" s="13" t="s">
        <v>316</v>
      </c>
      <c r="I4" s="13" t="s">
        <v>317</v>
      </c>
      <c r="J4" s="13" t="s">
        <v>323</v>
      </c>
      <c r="K4" s="13" t="s">
        <v>324</v>
      </c>
    </row>
    <row r="5" spans="1:11" ht="19.5" customHeight="1" x14ac:dyDescent="0.25">
      <c r="A5" s="13" t="s">
        <v>262</v>
      </c>
      <c r="B5" s="13" t="s">
        <v>312</v>
      </c>
      <c r="C5" s="13" t="s">
        <v>313</v>
      </c>
      <c r="D5" s="14" t="s">
        <v>314</v>
      </c>
      <c r="E5" s="13" t="s">
        <v>315</v>
      </c>
      <c r="F5" s="14">
        <v>5</v>
      </c>
      <c r="G5" s="14">
        <v>1</v>
      </c>
      <c r="H5" s="13" t="s">
        <v>316</v>
      </c>
      <c r="I5" s="13" t="s">
        <v>317</v>
      </c>
      <c r="J5" s="13" t="s">
        <v>325</v>
      </c>
      <c r="K5" s="13" t="s">
        <v>326</v>
      </c>
    </row>
    <row r="6" spans="1:11" ht="19.5" customHeight="1" x14ac:dyDescent="0.25">
      <c r="A6" s="13" t="s">
        <v>327</v>
      </c>
      <c r="B6" s="13" t="s">
        <v>312</v>
      </c>
      <c r="C6" s="13" t="s">
        <v>313</v>
      </c>
      <c r="D6" s="14" t="s">
        <v>314</v>
      </c>
      <c r="E6" s="13" t="s">
        <v>315</v>
      </c>
      <c r="F6" s="14">
        <v>5</v>
      </c>
      <c r="G6" s="14">
        <v>1</v>
      </c>
      <c r="H6" s="13" t="s">
        <v>316</v>
      </c>
      <c r="I6" s="13" t="s">
        <v>317</v>
      </c>
      <c r="J6" s="13" t="s">
        <v>328</v>
      </c>
      <c r="K6" s="13" t="s">
        <v>329</v>
      </c>
    </row>
    <row r="7" spans="1:11" ht="19.5" customHeight="1" x14ac:dyDescent="0.25">
      <c r="A7" s="13" t="s">
        <v>330</v>
      </c>
      <c r="B7" s="13" t="s">
        <v>312</v>
      </c>
      <c r="C7" s="13" t="s">
        <v>313</v>
      </c>
      <c r="D7" s="14" t="s">
        <v>314</v>
      </c>
      <c r="E7" s="13" t="s">
        <v>315</v>
      </c>
      <c r="F7" s="14">
        <v>5</v>
      </c>
      <c r="G7" s="14">
        <v>1</v>
      </c>
      <c r="H7" s="13" t="s">
        <v>316</v>
      </c>
      <c r="I7" s="13" t="s">
        <v>317</v>
      </c>
      <c r="J7" s="13" t="s">
        <v>331</v>
      </c>
      <c r="K7" s="13" t="s">
        <v>332</v>
      </c>
    </row>
    <row r="8" spans="1:11" ht="19.5" customHeight="1" x14ac:dyDescent="0.25">
      <c r="A8" s="13" t="s">
        <v>143</v>
      </c>
      <c r="B8" s="13" t="s">
        <v>312</v>
      </c>
      <c r="C8" s="13" t="s">
        <v>313</v>
      </c>
      <c r="D8" s="14" t="s">
        <v>314</v>
      </c>
      <c r="E8" s="13" t="s">
        <v>315</v>
      </c>
      <c r="F8" s="14">
        <v>5</v>
      </c>
      <c r="G8" s="14">
        <v>1</v>
      </c>
      <c r="H8" s="13" t="s">
        <v>316</v>
      </c>
      <c r="I8" s="13" t="s">
        <v>317</v>
      </c>
      <c r="J8" s="13" t="s">
        <v>333</v>
      </c>
      <c r="K8" s="13" t="s">
        <v>334</v>
      </c>
    </row>
    <row r="9" spans="1:11" ht="19.5" customHeight="1" x14ac:dyDescent="0.25">
      <c r="A9" s="13" t="s">
        <v>133</v>
      </c>
      <c r="B9" s="13" t="s">
        <v>312</v>
      </c>
      <c r="C9" s="13" t="s">
        <v>313</v>
      </c>
      <c r="D9" s="14" t="s">
        <v>314</v>
      </c>
      <c r="E9" s="13" t="s">
        <v>315</v>
      </c>
      <c r="F9" s="14">
        <v>5</v>
      </c>
      <c r="G9" s="14">
        <v>1</v>
      </c>
      <c r="H9" s="13" t="s">
        <v>316</v>
      </c>
      <c r="I9" s="13" t="s">
        <v>317</v>
      </c>
      <c r="J9" s="13" t="s">
        <v>335</v>
      </c>
      <c r="K9" s="13" t="s">
        <v>336</v>
      </c>
    </row>
    <row r="10" spans="1:11" ht="19.5" customHeight="1" x14ac:dyDescent="0.25">
      <c r="A10" s="13" t="s">
        <v>337</v>
      </c>
      <c r="B10" s="13" t="s">
        <v>312</v>
      </c>
      <c r="C10" s="13" t="s">
        <v>313</v>
      </c>
      <c r="D10" s="14" t="s">
        <v>314</v>
      </c>
      <c r="E10" s="13" t="s">
        <v>315</v>
      </c>
      <c r="F10" s="14">
        <v>5</v>
      </c>
      <c r="G10" s="14">
        <v>1</v>
      </c>
      <c r="H10" s="13" t="s">
        <v>316</v>
      </c>
      <c r="I10" s="13" t="s">
        <v>317</v>
      </c>
      <c r="J10" s="13" t="s">
        <v>338</v>
      </c>
      <c r="K10" s="13" t="s">
        <v>339</v>
      </c>
    </row>
    <row r="11" spans="1:11" ht="19.5" customHeight="1" x14ac:dyDescent="0.25">
      <c r="A11" s="13" t="s">
        <v>340</v>
      </c>
      <c r="B11" s="13" t="s">
        <v>312</v>
      </c>
      <c r="C11" s="13" t="s">
        <v>313</v>
      </c>
      <c r="D11" s="14" t="s">
        <v>314</v>
      </c>
      <c r="E11" s="13" t="s">
        <v>315</v>
      </c>
      <c r="F11" s="14">
        <v>5</v>
      </c>
      <c r="G11" s="14">
        <v>1</v>
      </c>
      <c r="H11" s="13" t="s">
        <v>316</v>
      </c>
      <c r="I11" s="13" t="s">
        <v>317</v>
      </c>
      <c r="J11" s="13" t="s">
        <v>341</v>
      </c>
      <c r="K11" s="13" t="s">
        <v>342</v>
      </c>
    </row>
    <row r="12" spans="1:11" ht="19.5" customHeight="1" x14ac:dyDescent="0.25">
      <c r="A12" s="13" t="s">
        <v>343</v>
      </c>
      <c r="B12" s="13" t="s">
        <v>312</v>
      </c>
      <c r="C12" s="13" t="s">
        <v>313</v>
      </c>
      <c r="D12" s="14" t="s">
        <v>314</v>
      </c>
      <c r="E12" s="13" t="s">
        <v>315</v>
      </c>
      <c r="F12" s="14">
        <v>5</v>
      </c>
      <c r="G12" s="14">
        <v>1</v>
      </c>
      <c r="H12" s="13" t="s">
        <v>316</v>
      </c>
      <c r="I12" s="13" t="s">
        <v>317</v>
      </c>
      <c r="J12" s="13" t="s">
        <v>344</v>
      </c>
      <c r="K12" s="13" t="s">
        <v>345</v>
      </c>
    </row>
    <row r="13" spans="1:11" ht="19.5" customHeight="1" x14ac:dyDescent="0.25">
      <c r="A13" s="13" t="s">
        <v>118</v>
      </c>
      <c r="B13" s="13" t="s">
        <v>312</v>
      </c>
      <c r="C13" s="13" t="s">
        <v>313</v>
      </c>
      <c r="D13" s="14" t="s">
        <v>314</v>
      </c>
      <c r="E13" s="13" t="s">
        <v>315</v>
      </c>
      <c r="F13" s="14">
        <v>5</v>
      </c>
      <c r="G13" s="14">
        <v>1</v>
      </c>
      <c r="H13" s="13" t="s">
        <v>316</v>
      </c>
      <c r="I13" s="13" t="s">
        <v>317</v>
      </c>
      <c r="J13" s="13" t="s">
        <v>346</v>
      </c>
      <c r="K13" s="13" t="s">
        <v>347</v>
      </c>
    </row>
    <row r="14" spans="1:11" ht="19.5" customHeight="1" x14ac:dyDescent="0.25">
      <c r="A14" s="13" t="s">
        <v>61</v>
      </c>
      <c r="B14" s="13" t="s">
        <v>312</v>
      </c>
      <c r="C14" s="13" t="s">
        <v>313</v>
      </c>
      <c r="D14" s="14" t="s">
        <v>314</v>
      </c>
      <c r="E14" s="13" t="s">
        <v>315</v>
      </c>
      <c r="F14" s="14">
        <v>5</v>
      </c>
      <c r="G14" s="14">
        <v>1</v>
      </c>
      <c r="H14" s="13" t="s">
        <v>316</v>
      </c>
      <c r="I14" s="13" t="s">
        <v>317</v>
      </c>
      <c r="J14" s="13" t="s">
        <v>348</v>
      </c>
      <c r="K14" s="13" t="s">
        <v>349</v>
      </c>
    </row>
    <row r="15" spans="1:11" ht="19.5" customHeight="1" x14ac:dyDescent="0.25">
      <c r="A15" s="13" t="s">
        <v>350</v>
      </c>
      <c r="B15" s="13" t="s">
        <v>312</v>
      </c>
      <c r="C15" s="13" t="s">
        <v>313</v>
      </c>
      <c r="D15" s="14" t="s">
        <v>314</v>
      </c>
      <c r="E15" s="13" t="s">
        <v>315</v>
      </c>
      <c r="F15" s="14">
        <v>5</v>
      </c>
      <c r="G15" s="14">
        <v>1</v>
      </c>
      <c r="H15" s="13" t="s">
        <v>316</v>
      </c>
      <c r="I15" s="13" t="s">
        <v>317</v>
      </c>
      <c r="J15" s="13" t="s">
        <v>351</v>
      </c>
      <c r="K15" s="13" t="s">
        <v>352</v>
      </c>
    </row>
    <row r="16" spans="1:11" ht="19.5" customHeight="1" x14ac:dyDescent="0.25">
      <c r="A16" s="13" t="s">
        <v>353</v>
      </c>
      <c r="B16" s="13" t="s">
        <v>312</v>
      </c>
      <c r="C16" s="13" t="s">
        <v>313</v>
      </c>
      <c r="D16" s="14" t="s">
        <v>314</v>
      </c>
      <c r="E16" s="13" t="s">
        <v>315</v>
      </c>
      <c r="F16" s="14">
        <v>5</v>
      </c>
      <c r="G16" s="14">
        <v>1</v>
      </c>
      <c r="H16" s="13" t="s">
        <v>316</v>
      </c>
      <c r="I16" s="13" t="s">
        <v>317</v>
      </c>
      <c r="J16" s="13" t="s">
        <v>354</v>
      </c>
      <c r="K16" s="13" t="s">
        <v>355</v>
      </c>
    </row>
    <row r="17" spans="1:11" ht="19.5" customHeight="1" x14ac:dyDescent="0.25">
      <c r="A17" s="13" t="s">
        <v>356</v>
      </c>
      <c r="B17" s="13" t="s">
        <v>312</v>
      </c>
      <c r="C17" s="13" t="s">
        <v>313</v>
      </c>
      <c r="D17" s="14" t="s">
        <v>314</v>
      </c>
      <c r="E17" s="13" t="s">
        <v>315</v>
      </c>
      <c r="F17" s="14">
        <v>5</v>
      </c>
      <c r="G17" s="14">
        <v>1</v>
      </c>
      <c r="H17" s="13" t="s">
        <v>316</v>
      </c>
      <c r="I17" s="13" t="s">
        <v>317</v>
      </c>
      <c r="J17" s="13" t="s">
        <v>357</v>
      </c>
      <c r="K17" s="13" t="s">
        <v>358</v>
      </c>
    </row>
    <row r="18" spans="1:11" ht="19.5" customHeight="1" x14ac:dyDescent="0.25">
      <c r="A18" s="13" t="s">
        <v>359</v>
      </c>
      <c r="B18" s="13" t="s">
        <v>312</v>
      </c>
      <c r="C18" s="13" t="s">
        <v>313</v>
      </c>
      <c r="D18" s="14" t="s">
        <v>314</v>
      </c>
      <c r="E18" s="13" t="s">
        <v>315</v>
      </c>
      <c r="F18" s="14">
        <v>5</v>
      </c>
      <c r="G18" s="14">
        <v>1</v>
      </c>
      <c r="H18" s="13" t="s">
        <v>316</v>
      </c>
      <c r="I18" s="13" t="s">
        <v>317</v>
      </c>
      <c r="J18" s="13" t="s">
        <v>360</v>
      </c>
      <c r="K18" s="13" t="s">
        <v>361</v>
      </c>
    </row>
    <row r="19" spans="1:11" ht="19.5" customHeight="1" x14ac:dyDescent="0.25">
      <c r="A19" s="13" t="s">
        <v>362</v>
      </c>
      <c r="B19" s="13" t="s">
        <v>312</v>
      </c>
      <c r="C19" s="13" t="s">
        <v>313</v>
      </c>
      <c r="D19" s="14" t="s">
        <v>314</v>
      </c>
      <c r="E19" s="13" t="s">
        <v>315</v>
      </c>
      <c r="F19" s="14">
        <v>5</v>
      </c>
      <c r="G19" s="14">
        <v>1</v>
      </c>
      <c r="H19" s="13" t="s">
        <v>316</v>
      </c>
      <c r="I19" s="13" t="s">
        <v>317</v>
      </c>
      <c r="J19" s="13" t="s">
        <v>363</v>
      </c>
      <c r="K19" s="13" t="s">
        <v>364</v>
      </c>
    </row>
    <row r="20" spans="1:11" ht="19.5" customHeight="1" x14ac:dyDescent="0.25">
      <c r="A20" s="13" t="s">
        <v>41</v>
      </c>
      <c r="B20" s="13" t="s">
        <v>312</v>
      </c>
      <c r="C20" s="13" t="s">
        <v>313</v>
      </c>
      <c r="D20" s="14" t="s">
        <v>314</v>
      </c>
      <c r="E20" s="13" t="s">
        <v>315</v>
      </c>
      <c r="F20" s="14">
        <v>5</v>
      </c>
      <c r="G20" s="14">
        <v>1</v>
      </c>
      <c r="H20" s="13" t="s">
        <v>316</v>
      </c>
      <c r="I20" s="13" t="s">
        <v>317</v>
      </c>
      <c r="J20" s="13" t="s">
        <v>365</v>
      </c>
      <c r="K20" s="13" t="s">
        <v>366</v>
      </c>
    </row>
    <row r="21" spans="1:11" ht="19.5" customHeight="1" x14ac:dyDescent="0.25">
      <c r="A21" s="13" t="s">
        <v>367</v>
      </c>
      <c r="B21" s="13" t="s">
        <v>312</v>
      </c>
      <c r="C21" s="13" t="s">
        <v>313</v>
      </c>
      <c r="D21" s="14" t="s">
        <v>314</v>
      </c>
      <c r="E21" s="13" t="s">
        <v>315</v>
      </c>
      <c r="F21" s="14">
        <v>5</v>
      </c>
      <c r="G21" s="14">
        <v>1</v>
      </c>
      <c r="H21" s="13" t="s">
        <v>316</v>
      </c>
      <c r="I21" s="13" t="s">
        <v>317</v>
      </c>
      <c r="J21" s="13" t="s">
        <v>368</v>
      </c>
      <c r="K21" s="13" t="s">
        <v>369</v>
      </c>
    </row>
    <row r="22" spans="1:11" ht="19.5" customHeight="1" x14ac:dyDescent="0.25">
      <c r="A22" s="13" t="s">
        <v>370</v>
      </c>
      <c r="B22" s="13" t="s">
        <v>312</v>
      </c>
      <c r="C22" s="13" t="s">
        <v>313</v>
      </c>
      <c r="D22" s="14" t="s">
        <v>314</v>
      </c>
      <c r="E22" s="13" t="s">
        <v>315</v>
      </c>
      <c r="F22" s="14">
        <v>5</v>
      </c>
      <c r="G22" s="14">
        <v>1</v>
      </c>
      <c r="H22" s="13" t="s">
        <v>316</v>
      </c>
      <c r="I22" s="13" t="s">
        <v>317</v>
      </c>
      <c r="J22" s="13" t="s">
        <v>371</v>
      </c>
      <c r="K22" s="13" t="s">
        <v>372</v>
      </c>
    </row>
    <row r="23" spans="1:11" ht="19.5" customHeight="1" x14ac:dyDescent="0.25">
      <c r="A23" s="13" t="s">
        <v>373</v>
      </c>
      <c r="B23" s="13" t="s">
        <v>312</v>
      </c>
      <c r="C23" s="13" t="s">
        <v>313</v>
      </c>
      <c r="D23" s="14" t="s">
        <v>314</v>
      </c>
      <c r="E23" s="13" t="s">
        <v>315</v>
      </c>
      <c r="F23" s="14">
        <v>5</v>
      </c>
      <c r="G23" s="14">
        <v>1</v>
      </c>
      <c r="H23" s="13" t="s">
        <v>316</v>
      </c>
      <c r="I23" s="13" t="s">
        <v>317</v>
      </c>
      <c r="J23" s="13" t="s">
        <v>374</v>
      </c>
      <c r="K23" s="13" t="s">
        <v>375</v>
      </c>
    </row>
    <row r="24" spans="1:11" ht="19.5" customHeight="1" x14ac:dyDescent="0.25">
      <c r="A24" s="13" t="s">
        <v>376</v>
      </c>
      <c r="B24" s="13" t="s">
        <v>312</v>
      </c>
      <c r="C24" s="13" t="s">
        <v>313</v>
      </c>
      <c r="D24" s="14" t="s">
        <v>314</v>
      </c>
      <c r="E24" s="13" t="s">
        <v>315</v>
      </c>
      <c r="F24" s="14">
        <v>5</v>
      </c>
      <c r="G24" s="14">
        <v>1</v>
      </c>
      <c r="H24" s="13" t="s">
        <v>316</v>
      </c>
      <c r="I24" s="13" t="s">
        <v>317</v>
      </c>
      <c r="J24" s="13" t="s">
        <v>377</v>
      </c>
      <c r="K24" s="13" t="s">
        <v>378</v>
      </c>
    </row>
    <row r="25" spans="1:11" ht="19.5" customHeight="1" x14ac:dyDescent="0.25">
      <c r="A25" s="13" t="s">
        <v>379</v>
      </c>
      <c r="B25" s="13" t="s">
        <v>312</v>
      </c>
      <c r="C25" s="13" t="s">
        <v>313</v>
      </c>
      <c r="D25" s="14" t="s">
        <v>314</v>
      </c>
      <c r="E25" s="13" t="s">
        <v>315</v>
      </c>
      <c r="F25" s="14">
        <v>5</v>
      </c>
      <c r="G25" s="14">
        <v>1</v>
      </c>
      <c r="H25" s="13" t="s">
        <v>316</v>
      </c>
      <c r="I25" s="13" t="s">
        <v>317</v>
      </c>
      <c r="J25" s="13" t="s">
        <v>380</v>
      </c>
      <c r="K25" s="13" t="s">
        <v>381</v>
      </c>
    </row>
    <row r="26" spans="1:11" ht="19.5" customHeight="1" x14ac:dyDescent="0.25">
      <c r="A26" s="13" t="s">
        <v>382</v>
      </c>
      <c r="B26" s="13" t="s">
        <v>312</v>
      </c>
      <c r="C26" s="13" t="s">
        <v>313</v>
      </c>
      <c r="D26" s="14" t="s">
        <v>314</v>
      </c>
      <c r="E26" s="13" t="s">
        <v>315</v>
      </c>
      <c r="F26" s="14">
        <v>5</v>
      </c>
      <c r="G26" s="14">
        <v>1</v>
      </c>
      <c r="H26" s="13" t="s">
        <v>316</v>
      </c>
      <c r="I26" s="13" t="s">
        <v>317</v>
      </c>
      <c r="J26" s="13" t="s">
        <v>383</v>
      </c>
      <c r="K26" s="13" t="s">
        <v>384</v>
      </c>
    </row>
    <row r="27" spans="1:11" ht="19.5" customHeight="1" x14ac:dyDescent="0.25">
      <c r="A27" s="13" t="s">
        <v>385</v>
      </c>
      <c r="B27" s="13" t="s">
        <v>312</v>
      </c>
      <c r="C27" s="13" t="s">
        <v>313</v>
      </c>
      <c r="D27" s="14" t="s">
        <v>314</v>
      </c>
      <c r="E27" s="13" t="s">
        <v>315</v>
      </c>
      <c r="F27" s="14">
        <v>5</v>
      </c>
      <c r="G27" s="14">
        <v>1</v>
      </c>
      <c r="H27" s="13" t="s">
        <v>316</v>
      </c>
      <c r="I27" s="13" t="s">
        <v>317</v>
      </c>
      <c r="J27" s="13" t="s">
        <v>386</v>
      </c>
      <c r="K27" s="13" t="s">
        <v>387</v>
      </c>
    </row>
    <row r="28" spans="1:11" ht="19.5" customHeight="1" x14ac:dyDescent="0.25">
      <c r="A28" s="13" t="s">
        <v>185</v>
      </c>
      <c r="B28" s="13" t="s">
        <v>312</v>
      </c>
      <c r="C28" s="13" t="s">
        <v>313</v>
      </c>
      <c r="D28" s="14" t="s">
        <v>314</v>
      </c>
      <c r="E28" s="13" t="s">
        <v>315</v>
      </c>
      <c r="F28" s="14">
        <v>5</v>
      </c>
      <c r="G28" s="14">
        <v>1</v>
      </c>
      <c r="H28" s="13" t="s">
        <v>316</v>
      </c>
      <c r="I28" s="13" t="s">
        <v>317</v>
      </c>
      <c r="J28" s="13" t="s">
        <v>388</v>
      </c>
      <c r="K28" s="13" t="s">
        <v>389</v>
      </c>
    </row>
    <row r="29" spans="1:11" ht="19.5" customHeight="1" x14ac:dyDescent="0.25">
      <c r="A29" s="13" t="s">
        <v>390</v>
      </c>
      <c r="B29" s="13" t="s">
        <v>312</v>
      </c>
      <c r="C29" s="13" t="s">
        <v>313</v>
      </c>
      <c r="D29" s="14" t="s">
        <v>314</v>
      </c>
      <c r="E29" s="13" t="s">
        <v>315</v>
      </c>
      <c r="F29" s="14">
        <v>5</v>
      </c>
      <c r="G29" s="14">
        <v>1</v>
      </c>
      <c r="H29" s="13" t="s">
        <v>316</v>
      </c>
      <c r="I29" s="13" t="s">
        <v>317</v>
      </c>
      <c r="J29" s="13" t="s">
        <v>391</v>
      </c>
      <c r="K29" s="13" t="s">
        <v>392</v>
      </c>
    </row>
    <row r="30" spans="1:11" ht="19.5" customHeight="1" x14ac:dyDescent="0.25">
      <c r="A30" s="13" t="s">
        <v>104</v>
      </c>
      <c r="B30" s="13" t="s">
        <v>312</v>
      </c>
      <c r="C30" s="13" t="s">
        <v>313</v>
      </c>
      <c r="D30" s="14" t="s">
        <v>314</v>
      </c>
      <c r="E30" s="13" t="s">
        <v>315</v>
      </c>
      <c r="F30" s="14">
        <v>5</v>
      </c>
      <c r="G30" s="14">
        <v>1</v>
      </c>
      <c r="H30" s="13" t="s">
        <v>316</v>
      </c>
      <c r="I30" s="13" t="s">
        <v>317</v>
      </c>
      <c r="J30" s="13" t="s">
        <v>393</v>
      </c>
      <c r="K30" s="13" t="s">
        <v>394</v>
      </c>
    </row>
    <row r="31" spans="1:11" ht="19.5" customHeight="1" x14ac:dyDescent="0.25">
      <c r="A31" s="13" t="s">
        <v>82</v>
      </c>
      <c r="B31" s="13" t="s">
        <v>312</v>
      </c>
      <c r="C31" s="13" t="s">
        <v>313</v>
      </c>
      <c r="D31" s="14" t="s">
        <v>314</v>
      </c>
      <c r="E31" s="13" t="s">
        <v>315</v>
      </c>
      <c r="F31" s="14">
        <v>5</v>
      </c>
      <c r="G31" s="14">
        <v>1</v>
      </c>
      <c r="H31" s="13" t="s">
        <v>316</v>
      </c>
      <c r="I31" s="13" t="s">
        <v>317</v>
      </c>
      <c r="J31" s="13" t="s">
        <v>395</v>
      </c>
      <c r="K31" s="13" t="s">
        <v>396</v>
      </c>
    </row>
    <row r="32" spans="1:11" ht="19.5" customHeight="1" x14ac:dyDescent="0.25">
      <c r="A32" s="13" t="s">
        <v>397</v>
      </c>
      <c r="B32" s="13" t="s">
        <v>312</v>
      </c>
      <c r="C32" s="13" t="s">
        <v>313</v>
      </c>
      <c r="D32" s="14" t="s">
        <v>314</v>
      </c>
      <c r="E32" s="13" t="s">
        <v>315</v>
      </c>
      <c r="F32" s="14">
        <v>5</v>
      </c>
      <c r="G32" s="14">
        <v>1</v>
      </c>
      <c r="H32" s="13" t="s">
        <v>316</v>
      </c>
      <c r="I32" s="13" t="s">
        <v>317</v>
      </c>
      <c r="J32" s="13" t="s">
        <v>398</v>
      </c>
      <c r="K32" s="13" t="s">
        <v>399</v>
      </c>
    </row>
    <row r="33" spans="1:11" ht="19.5" customHeight="1" x14ac:dyDescent="0.25">
      <c r="A33" s="13" t="s">
        <v>400</v>
      </c>
      <c r="B33" s="13" t="s">
        <v>312</v>
      </c>
      <c r="C33" s="13" t="s">
        <v>313</v>
      </c>
      <c r="D33" s="14" t="s">
        <v>314</v>
      </c>
      <c r="E33" s="13" t="s">
        <v>315</v>
      </c>
      <c r="F33" s="14">
        <v>5</v>
      </c>
      <c r="G33" s="14">
        <v>1</v>
      </c>
      <c r="H33" s="13" t="s">
        <v>316</v>
      </c>
      <c r="I33" s="13" t="s">
        <v>317</v>
      </c>
      <c r="J33" s="13" t="s">
        <v>401</v>
      </c>
      <c r="K33" s="13" t="s">
        <v>402</v>
      </c>
    </row>
    <row r="34" spans="1:11" ht="19.5" customHeight="1" x14ac:dyDescent="0.25">
      <c r="A34" s="13" t="s">
        <v>403</v>
      </c>
      <c r="B34" s="13" t="s">
        <v>312</v>
      </c>
      <c r="C34" s="13" t="s">
        <v>313</v>
      </c>
      <c r="D34" s="14" t="s">
        <v>314</v>
      </c>
      <c r="E34" s="13" t="s">
        <v>315</v>
      </c>
      <c r="F34" s="14">
        <v>5</v>
      </c>
      <c r="G34" s="14">
        <v>1</v>
      </c>
      <c r="H34" s="13" t="s">
        <v>316</v>
      </c>
      <c r="I34" s="13" t="s">
        <v>317</v>
      </c>
      <c r="J34" s="13" t="s">
        <v>404</v>
      </c>
      <c r="K34" s="13" t="s">
        <v>405</v>
      </c>
    </row>
    <row r="35" spans="1:11" ht="19.5" customHeight="1" x14ac:dyDescent="0.25">
      <c r="A35" s="13" t="s">
        <v>406</v>
      </c>
      <c r="B35" s="13" t="s">
        <v>312</v>
      </c>
      <c r="C35" s="13" t="s">
        <v>313</v>
      </c>
      <c r="D35" s="14" t="s">
        <v>314</v>
      </c>
      <c r="E35" s="13" t="s">
        <v>315</v>
      </c>
      <c r="F35" s="14">
        <v>5</v>
      </c>
      <c r="G35" s="14">
        <v>1</v>
      </c>
      <c r="H35" s="13" t="s">
        <v>316</v>
      </c>
      <c r="I35" s="13" t="s">
        <v>317</v>
      </c>
      <c r="J35" s="13" t="s">
        <v>407</v>
      </c>
      <c r="K35" s="13" t="s">
        <v>408</v>
      </c>
    </row>
    <row r="36" spans="1:11" ht="19.5" customHeight="1" x14ac:dyDescent="0.25">
      <c r="A36" s="13" t="s">
        <v>144</v>
      </c>
      <c r="B36" s="13" t="s">
        <v>312</v>
      </c>
      <c r="C36" s="13" t="s">
        <v>313</v>
      </c>
      <c r="D36" s="14" t="s">
        <v>314</v>
      </c>
      <c r="E36" s="13" t="s">
        <v>315</v>
      </c>
      <c r="F36" s="14">
        <v>5</v>
      </c>
      <c r="G36" s="14">
        <v>1</v>
      </c>
      <c r="H36" s="13" t="s">
        <v>316</v>
      </c>
      <c r="I36" s="13" t="s">
        <v>317</v>
      </c>
      <c r="J36" s="13" t="s">
        <v>409</v>
      </c>
      <c r="K36" s="13" t="s">
        <v>410</v>
      </c>
    </row>
    <row r="37" spans="1:11" ht="19.5" customHeight="1" x14ac:dyDescent="0.25">
      <c r="A37" s="13" t="s">
        <v>411</v>
      </c>
      <c r="B37" s="13" t="s">
        <v>312</v>
      </c>
      <c r="C37" s="13" t="s">
        <v>313</v>
      </c>
      <c r="D37" s="14" t="s">
        <v>314</v>
      </c>
      <c r="E37" s="13" t="s">
        <v>315</v>
      </c>
      <c r="F37" s="14">
        <v>5</v>
      </c>
      <c r="G37" s="14">
        <v>1</v>
      </c>
      <c r="H37" s="13" t="s">
        <v>316</v>
      </c>
      <c r="I37" s="13" t="s">
        <v>317</v>
      </c>
      <c r="J37" s="13" t="s">
        <v>412</v>
      </c>
      <c r="K37" s="13" t="s">
        <v>413</v>
      </c>
    </row>
    <row r="38" spans="1:11" ht="19.5" customHeight="1" x14ac:dyDescent="0.25">
      <c r="A38" s="13" t="s">
        <v>92</v>
      </c>
      <c r="B38" s="13" t="s">
        <v>312</v>
      </c>
      <c r="C38" s="13" t="s">
        <v>313</v>
      </c>
      <c r="D38" s="14" t="s">
        <v>314</v>
      </c>
      <c r="E38" s="13" t="s">
        <v>315</v>
      </c>
      <c r="F38" s="14">
        <v>5</v>
      </c>
      <c r="G38" s="14">
        <v>1</v>
      </c>
      <c r="H38" s="13" t="s">
        <v>316</v>
      </c>
      <c r="I38" s="13" t="s">
        <v>317</v>
      </c>
      <c r="J38" s="13" t="s">
        <v>414</v>
      </c>
      <c r="K38" s="13" t="s">
        <v>415</v>
      </c>
    </row>
    <row r="39" spans="1:11" ht="19.5" customHeight="1" x14ac:dyDescent="0.25">
      <c r="A39" s="13" t="s">
        <v>416</v>
      </c>
      <c r="B39" s="13" t="s">
        <v>312</v>
      </c>
      <c r="C39" s="13" t="s">
        <v>313</v>
      </c>
      <c r="D39" s="14" t="s">
        <v>314</v>
      </c>
      <c r="E39" s="13" t="s">
        <v>315</v>
      </c>
      <c r="F39" s="14">
        <v>5</v>
      </c>
      <c r="G39" s="14">
        <v>1</v>
      </c>
      <c r="H39" s="13" t="s">
        <v>316</v>
      </c>
      <c r="I39" s="13" t="s">
        <v>317</v>
      </c>
      <c r="J39" s="13" t="s">
        <v>417</v>
      </c>
      <c r="K39" s="13" t="s">
        <v>418</v>
      </c>
    </row>
    <row r="40" spans="1:11" ht="19.5" customHeight="1" x14ac:dyDescent="0.25">
      <c r="A40" s="13" t="s">
        <v>252</v>
      </c>
      <c r="B40" s="13" t="s">
        <v>312</v>
      </c>
      <c r="C40" s="13" t="s">
        <v>313</v>
      </c>
      <c r="D40" s="14" t="s">
        <v>314</v>
      </c>
      <c r="E40" s="13" t="s">
        <v>315</v>
      </c>
      <c r="F40" s="14">
        <v>5</v>
      </c>
      <c r="G40" s="14">
        <v>1</v>
      </c>
      <c r="H40" s="13" t="s">
        <v>316</v>
      </c>
      <c r="I40" s="13" t="s">
        <v>317</v>
      </c>
      <c r="J40" s="13" t="s">
        <v>419</v>
      </c>
      <c r="K40" s="13" t="s">
        <v>420</v>
      </c>
    </row>
    <row r="41" spans="1:11" ht="19.5" customHeight="1" x14ac:dyDescent="0.25">
      <c r="A41" s="13" t="s">
        <v>421</v>
      </c>
      <c r="B41" s="13" t="s">
        <v>312</v>
      </c>
      <c r="C41" s="13" t="s">
        <v>313</v>
      </c>
      <c r="D41" s="14" t="s">
        <v>314</v>
      </c>
      <c r="E41" s="13" t="s">
        <v>315</v>
      </c>
      <c r="F41" s="14">
        <v>5</v>
      </c>
      <c r="G41" s="14">
        <v>1</v>
      </c>
      <c r="H41" s="13" t="s">
        <v>316</v>
      </c>
      <c r="I41" s="13" t="s">
        <v>317</v>
      </c>
      <c r="J41" s="13" t="s">
        <v>422</v>
      </c>
      <c r="K41" s="13" t="s">
        <v>423</v>
      </c>
    </row>
    <row r="42" spans="1:11" ht="19.5" customHeight="1" x14ac:dyDescent="0.25">
      <c r="A42" s="13" t="s">
        <v>250</v>
      </c>
      <c r="B42" s="13" t="s">
        <v>312</v>
      </c>
      <c r="C42" s="13" t="s">
        <v>313</v>
      </c>
      <c r="D42" s="14" t="s">
        <v>314</v>
      </c>
      <c r="E42" s="13" t="s">
        <v>315</v>
      </c>
      <c r="F42" s="14">
        <v>5</v>
      </c>
      <c r="G42" s="14">
        <v>1</v>
      </c>
      <c r="H42" s="13" t="s">
        <v>316</v>
      </c>
      <c r="I42" s="13" t="s">
        <v>317</v>
      </c>
      <c r="J42" s="13" t="s">
        <v>424</v>
      </c>
      <c r="K42" s="13" t="s">
        <v>425</v>
      </c>
    </row>
    <row r="43" spans="1:11" ht="19.5" customHeight="1" x14ac:dyDescent="0.25">
      <c r="A43" s="13" t="s">
        <v>426</v>
      </c>
      <c r="B43" s="13" t="s">
        <v>312</v>
      </c>
      <c r="C43" s="13" t="s">
        <v>313</v>
      </c>
      <c r="D43" s="14" t="s">
        <v>314</v>
      </c>
      <c r="E43" s="13" t="s">
        <v>315</v>
      </c>
      <c r="F43" s="14">
        <v>5</v>
      </c>
      <c r="G43" s="14">
        <v>1</v>
      </c>
      <c r="H43" s="13" t="s">
        <v>316</v>
      </c>
      <c r="I43" s="13" t="s">
        <v>317</v>
      </c>
      <c r="J43" s="13" t="s">
        <v>427</v>
      </c>
      <c r="K43" s="13" t="s">
        <v>428</v>
      </c>
    </row>
    <row r="44" spans="1:11" ht="19.5" customHeight="1" x14ac:dyDescent="0.25">
      <c r="A44" s="13" t="s">
        <v>429</v>
      </c>
      <c r="B44" s="13" t="s">
        <v>312</v>
      </c>
      <c r="C44" s="13" t="s">
        <v>313</v>
      </c>
      <c r="D44" s="14" t="s">
        <v>314</v>
      </c>
      <c r="E44" s="13" t="s">
        <v>315</v>
      </c>
      <c r="F44" s="14">
        <v>5</v>
      </c>
      <c r="G44" s="14">
        <v>1</v>
      </c>
      <c r="H44" s="13" t="s">
        <v>316</v>
      </c>
      <c r="I44" s="13" t="s">
        <v>317</v>
      </c>
      <c r="J44" s="13" t="s">
        <v>430</v>
      </c>
      <c r="K44" s="13" t="s">
        <v>431</v>
      </c>
    </row>
    <row r="45" spans="1:11" ht="19.5" customHeight="1" x14ac:dyDescent="0.25">
      <c r="A45" s="13" t="s">
        <v>432</v>
      </c>
      <c r="B45" s="13" t="s">
        <v>312</v>
      </c>
      <c r="C45" s="13" t="s">
        <v>313</v>
      </c>
      <c r="D45" s="14" t="s">
        <v>314</v>
      </c>
      <c r="E45" s="13" t="s">
        <v>315</v>
      </c>
      <c r="F45" s="14">
        <v>5</v>
      </c>
      <c r="G45" s="14">
        <v>1</v>
      </c>
      <c r="H45" s="13" t="s">
        <v>316</v>
      </c>
      <c r="I45" s="13" t="s">
        <v>317</v>
      </c>
      <c r="J45" s="13" t="s">
        <v>433</v>
      </c>
      <c r="K45" s="13" t="s">
        <v>434</v>
      </c>
    </row>
    <row r="46" spans="1:11" ht="19.5" customHeight="1" x14ac:dyDescent="0.25">
      <c r="A46" s="13" t="s">
        <v>128</v>
      </c>
      <c r="B46" s="13" t="s">
        <v>312</v>
      </c>
      <c r="C46" s="13" t="s">
        <v>313</v>
      </c>
      <c r="D46" s="14" t="s">
        <v>314</v>
      </c>
      <c r="E46" s="13" t="s">
        <v>315</v>
      </c>
      <c r="F46" s="14">
        <v>5</v>
      </c>
      <c r="G46" s="14">
        <v>1</v>
      </c>
      <c r="H46" s="13" t="s">
        <v>316</v>
      </c>
      <c r="I46" s="13" t="s">
        <v>317</v>
      </c>
      <c r="J46" s="13" t="s">
        <v>435</v>
      </c>
      <c r="K46" s="13" t="s">
        <v>436</v>
      </c>
    </row>
    <row r="47" spans="1:11" ht="19.5" customHeight="1" x14ac:dyDescent="0.25">
      <c r="A47" s="13" t="s">
        <v>437</v>
      </c>
      <c r="B47" s="13" t="s">
        <v>312</v>
      </c>
      <c r="C47" s="13" t="s">
        <v>313</v>
      </c>
      <c r="D47" s="14" t="s">
        <v>314</v>
      </c>
      <c r="E47" s="13" t="s">
        <v>315</v>
      </c>
      <c r="F47" s="14">
        <v>5</v>
      </c>
      <c r="G47" s="14">
        <v>1</v>
      </c>
      <c r="H47" s="13" t="s">
        <v>316</v>
      </c>
      <c r="I47" s="13" t="s">
        <v>317</v>
      </c>
      <c r="J47" s="13" t="s">
        <v>438</v>
      </c>
      <c r="K47" s="13" t="s">
        <v>439</v>
      </c>
    </row>
    <row r="48" spans="1:11" ht="19.5" customHeight="1" x14ac:dyDescent="0.25">
      <c r="A48" s="13" t="s">
        <v>440</v>
      </c>
      <c r="B48" s="13" t="s">
        <v>312</v>
      </c>
      <c r="C48" s="13" t="s">
        <v>313</v>
      </c>
      <c r="D48" s="14" t="s">
        <v>314</v>
      </c>
      <c r="E48" s="13" t="s">
        <v>315</v>
      </c>
      <c r="F48" s="14">
        <v>5</v>
      </c>
      <c r="G48" s="14">
        <v>1</v>
      </c>
      <c r="H48" s="13" t="s">
        <v>316</v>
      </c>
      <c r="I48" s="13" t="s">
        <v>317</v>
      </c>
      <c r="J48" s="13" t="s">
        <v>441</v>
      </c>
      <c r="K48" s="13" t="s">
        <v>442</v>
      </c>
    </row>
    <row r="49" spans="1:11" ht="19.5" customHeight="1" x14ac:dyDescent="0.25">
      <c r="A49" s="13" t="s">
        <v>443</v>
      </c>
      <c r="B49" s="13" t="s">
        <v>312</v>
      </c>
      <c r="C49" s="13" t="s">
        <v>313</v>
      </c>
      <c r="D49" s="14" t="s">
        <v>314</v>
      </c>
      <c r="E49" s="13" t="s">
        <v>315</v>
      </c>
      <c r="F49" s="14">
        <v>5</v>
      </c>
      <c r="G49" s="14">
        <v>1</v>
      </c>
      <c r="H49" s="13" t="s">
        <v>316</v>
      </c>
      <c r="I49" s="13" t="s">
        <v>317</v>
      </c>
      <c r="J49" s="13" t="s">
        <v>444</v>
      </c>
      <c r="K49" s="13" t="s">
        <v>445</v>
      </c>
    </row>
    <row r="50" spans="1:11" ht="19.5" customHeight="1" x14ac:dyDescent="0.25">
      <c r="A50" s="13" t="s">
        <v>446</v>
      </c>
      <c r="B50" s="13" t="s">
        <v>312</v>
      </c>
      <c r="C50" s="13" t="s">
        <v>313</v>
      </c>
      <c r="D50" s="14" t="s">
        <v>314</v>
      </c>
      <c r="E50" s="13" t="s">
        <v>315</v>
      </c>
      <c r="F50" s="14">
        <v>5</v>
      </c>
      <c r="G50" s="14">
        <v>1</v>
      </c>
      <c r="H50" s="13" t="s">
        <v>316</v>
      </c>
      <c r="I50" s="13" t="s">
        <v>317</v>
      </c>
      <c r="J50" s="13" t="s">
        <v>447</v>
      </c>
      <c r="K50" s="13" t="s">
        <v>448</v>
      </c>
    </row>
    <row r="51" spans="1:11" ht="19.5" customHeight="1" x14ac:dyDescent="0.25">
      <c r="A51" s="13" t="s">
        <v>449</v>
      </c>
      <c r="B51" s="13" t="s">
        <v>312</v>
      </c>
      <c r="C51" s="13" t="s">
        <v>313</v>
      </c>
      <c r="D51" s="14" t="s">
        <v>314</v>
      </c>
      <c r="E51" s="13" t="s">
        <v>315</v>
      </c>
      <c r="F51" s="14">
        <v>5</v>
      </c>
      <c r="G51" s="14">
        <v>1</v>
      </c>
      <c r="H51" s="13" t="s">
        <v>316</v>
      </c>
      <c r="I51" s="13" t="s">
        <v>317</v>
      </c>
      <c r="J51" s="13" t="s">
        <v>450</v>
      </c>
      <c r="K51" s="13" t="s">
        <v>451</v>
      </c>
    </row>
    <row r="52" spans="1:11" ht="19.5" customHeight="1" x14ac:dyDescent="0.25">
      <c r="A52" s="13" t="s">
        <v>452</v>
      </c>
      <c r="B52" s="13" t="s">
        <v>312</v>
      </c>
      <c r="C52" s="13" t="s">
        <v>313</v>
      </c>
      <c r="D52" s="14" t="s">
        <v>314</v>
      </c>
      <c r="E52" s="13" t="s">
        <v>315</v>
      </c>
      <c r="F52" s="14">
        <v>5</v>
      </c>
      <c r="G52" s="14">
        <v>1</v>
      </c>
      <c r="H52" s="13" t="s">
        <v>316</v>
      </c>
      <c r="I52" s="13" t="s">
        <v>317</v>
      </c>
      <c r="J52" s="13" t="s">
        <v>453</v>
      </c>
      <c r="K52" s="13" t="s">
        <v>454</v>
      </c>
    </row>
    <row r="53" spans="1:11" ht="19.5" customHeight="1" x14ac:dyDescent="0.25">
      <c r="A53" s="13" t="s">
        <v>455</v>
      </c>
      <c r="B53" s="13" t="s">
        <v>312</v>
      </c>
      <c r="C53" s="13" t="s">
        <v>313</v>
      </c>
      <c r="D53" s="14" t="s">
        <v>314</v>
      </c>
      <c r="E53" s="13" t="s">
        <v>315</v>
      </c>
      <c r="F53" s="14">
        <v>5</v>
      </c>
      <c r="G53" s="14">
        <v>1</v>
      </c>
      <c r="H53" s="13" t="s">
        <v>316</v>
      </c>
      <c r="I53" s="13" t="s">
        <v>317</v>
      </c>
      <c r="J53" s="13" t="s">
        <v>456</v>
      </c>
      <c r="K53" s="13" t="s">
        <v>457</v>
      </c>
    </row>
    <row r="54" spans="1:11" ht="19.5" customHeight="1" x14ac:dyDescent="0.25">
      <c r="A54" s="13" t="s">
        <v>458</v>
      </c>
      <c r="B54" s="13" t="s">
        <v>312</v>
      </c>
      <c r="C54" s="13" t="s">
        <v>313</v>
      </c>
      <c r="D54" s="14" t="s">
        <v>314</v>
      </c>
      <c r="E54" s="13" t="s">
        <v>315</v>
      </c>
      <c r="F54" s="14">
        <v>5</v>
      </c>
      <c r="G54" s="14">
        <v>1</v>
      </c>
      <c r="H54" s="13" t="s">
        <v>316</v>
      </c>
      <c r="I54" s="13" t="s">
        <v>317</v>
      </c>
      <c r="J54" s="13" t="s">
        <v>459</v>
      </c>
      <c r="K54" s="13" t="s">
        <v>460</v>
      </c>
    </row>
    <row r="55" spans="1:11" ht="19.5" customHeight="1" x14ac:dyDescent="0.25">
      <c r="A55" s="13" t="s">
        <v>461</v>
      </c>
      <c r="B55" s="13" t="s">
        <v>312</v>
      </c>
      <c r="C55" s="13" t="s">
        <v>313</v>
      </c>
      <c r="D55" s="14" t="s">
        <v>314</v>
      </c>
      <c r="E55" s="13" t="s">
        <v>315</v>
      </c>
      <c r="F55" s="14">
        <v>5</v>
      </c>
      <c r="G55" s="14">
        <v>1</v>
      </c>
      <c r="H55" s="13" t="s">
        <v>316</v>
      </c>
      <c r="I55" s="13" t="s">
        <v>317</v>
      </c>
      <c r="J55" s="13" t="s">
        <v>462</v>
      </c>
      <c r="K55" s="13" t="s">
        <v>463</v>
      </c>
    </row>
    <row r="56" spans="1:11" ht="19.5" customHeight="1" x14ac:dyDescent="0.25">
      <c r="A56" s="13" t="s">
        <v>464</v>
      </c>
      <c r="B56" s="13" t="s">
        <v>312</v>
      </c>
      <c r="C56" s="13" t="s">
        <v>313</v>
      </c>
      <c r="D56" s="14" t="s">
        <v>314</v>
      </c>
      <c r="E56" s="13" t="s">
        <v>315</v>
      </c>
      <c r="F56" s="14">
        <v>5</v>
      </c>
      <c r="G56" s="14">
        <v>1</v>
      </c>
      <c r="H56" s="13" t="s">
        <v>316</v>
      </c>
      <c r="I56" s="13" t="s">
        <v>317</v>
      </c>
      <c r="J56" s="13" t="s">
        <v>465</v>
      </c>
      <c r="K56" s="13" t="s">
        <v>466</v>
      </c>
    </row>
    <row r="57" spans="1:11" ht="19.5" customHeight="1" x14ac:dyDescent="0.25">
      <c r="A57" s="13" t="s">
        <v>467</v>
      </c>
      <c r="B57" s="13" t="s">
        <v>312</v>
      </c>
      <c r="C57" s="13" t="s">
        <v>313</v>
      </c>
      <c r="D57" s="14" t="s">
        <v>314</v>
      </c>
      <c r="E57" s="13" t="s">
        <v>315</v>
      </c>
      <c r="F57" s="14">
        <v>5</v>
      </c>
      <c r="G57" s="14">
        <v>1</v>
      </c>
      <c r="H57" s="13" t="s">
        <v>316</v>
      </c>
      <c r="I57" s="13" t="s">
        <v>317</v>
      </c>
      <c r="J57" s="13" t="s">
        <v>468</v>
      </c>
      <c r="K57" s="13" t="s">
        <v>469</v>
      </c>
    </row>
    <row r="58" spans="1:11" ht="19.5" customHeight="1" x14ac:dyDescent="0.25">
      <c r="A58" s="13" t="s">
        <v>470</v>
      </c>
      <c r="B58" s="13" t="s">
        <v>312</v>
      </c>
      <c r="C58" s="13" t="s">
        <v>313</v>
      </c>
      <c r="D58" s="14" t="s">
        <v>314</v>
      </c>
      <c r="E58" s="13" t="s">
        <v>315</v>
      </c>
      <c r="F58" s="14">
        <v>5</v>
      </c>
      <c r="G58" s="14">
        <v>1</v>
      </c>
      <c r="H58" s="13" t="s">
        <v>316</v>
      </c>
      <c r="I58" s="13" t="s">
        <v>317</v>
      </c>
      <c r="J58" s="13" t="s">
        <v>471</v>
      </c>
      <c r="K58" s="13" t="s">
        <v>472</v>
      </c>
    </row>
    <row r="59" spans="1:11" ht="19.5" customHeight="1" x14ac:dyDescent="0.25">
      <c r="A59" s="13" t="s">
        <v>473</v>
      </c>
      <c r="B59" s="13" t="s">
        <v>312</v>
      </c>
      <c r="C59" s="13" t="s">
        <v>313</v>
      </c>
      <c r="D59" s="14" t="s">
        <v>314</v>
      </c>
      <c r="E59" s="13" t="s">
        <v>315</v>
      </c>
      <c r="F59" s="14">
        <v>5</v>
      </c>
      <c r="G59" s="14">
        <v>1</v>
      </c>
      <c r="H59" s="13" t="s">
        <v>316</v>
      </c>
      <c r="I59" s="13" t="s">
        <v>317</v>
      </c>
      <c r="J59" s="13" t="s">
        <v>474</v>
      </c>
      <c r="K59" s="13" t="s">
        <v>475</v>
      </c>
    </row>
    <row r="60" spans="1:11" ht="19.5" customHeight="1" x14ac:dyDescent="0.25">
      <c r="A60" s="13" t="s">
        <v>476</v>
      </c>
      <c r="B60" s="13" t="s">
        <v>312</v>
      </c>
      <c r="C60" s="13" t="s">
        <v>313</v>
      </c>
      <c r="D60" s="14" t="s">
        <v>314</v>
      </c>
      <c r="E60" s="13" t="s">
        <v>315</v>
      </c>
      <c r="F60" s="14">
        <v>5</v>
      </c>
      <c r="G60" s="14">
        <v>1</v>
      </c>
      <c r="H60" s="13" t="s">
        <v>316</v>
      </c>
      <c r="I60" s="13" t="s">
        <v>317</v>
      </c>
      <c r="J60" s="13" t="s">
        <v>477</v>
      </c>
      <c r="K60" s="13" t="s">
        <v>478</v>
      </c>
    </row>
    <row r="61" spans="1:11" ht="19.5" customHeight="1" x14ac:dyDescent="0.25">
      <c r="A61" s="13" t="s">
        <v>164</v>
      </c>
      <c r="B61" s="13" t="s">
        <v>312</v>
      </c>
      <c r="C61" s="13" t="s">
        <v>313</v>
      </c>
      <c r="D61" s="14" t="s">
        <v>314</v>
      </c>
      <c r="E61" s="13" t="s">
        <v>315</v>
      </c>
      <c r="F61" s="14">
        <v>5</v>
      </c>
      <c r="G61" s="14">
        <v>1</v>
      </c>
      <c r="H61" s="13" t="s">
        <v>316</v>
      </c>
      <c r="I61" s="13" t="s">
        <v>317</v>
      </c>
      <c r="J61" s="13" t="s">
        <v>479</v>
      </c>
      <c r="K61" s="13" t="s">
        <v>480</v>
      </c>
    </row>
    <row r="62" spans="1:11" ht="19.5" customHeight="1" x14ac:dyDescent="0.25">
      <c r="A62" s="13" t="s">
        <v>288</v>
      </c>
      <c r="B62" s="13" t="s">
        <v>312</v>
      </c>
      <c r="C62" s="13" t="s">
        <v>313</v>
      </c>
      <c r="D62" s="14" t="s">
        <v>314</v>
      </c>
      <c r="E62" s="13" t="s">
        <v>315</v>
      </c>
      <c r="F62" s="14">
        <v>5</v>
      </c>
      <c r="G62" s="14">
        <v>1</v>
      </c>
      <c r="H62" s="13" t="s">
        <v>316</v>
      </c>
      <c r="I62" s="13" t="s">
        <v>317</v>
      </c>
      <c r="J62" s="13" t="s">
        <v>481</v>
      </c>
      <c r="K62" s="13" t="s">
        <v>482</v>
      </c>
    </row>
    <row r="63" spans="1:11" ht="19.5" customHeight="1" x14ac:dyDescent="0.25">
      <c r="A63" s="13" t="s">
        <v>483</v>
      </c>
      <c r="B63" s="13" t="s">
        <v>312</v>
      </c>
      <c r="C63" s="13" t="s">
        <v>313</v>
      </c>
      <c r="D63" s="14" t="s">
        <v>314</v>
      </c>
      <c r="E63" s="13" t="s">
        <v>315</v>
      </c>
      <c r="F63" s="14">
        <v>5</v>
      </c>
      <c r="G63" s="14">
        <v>1</v>
      </c>
      <c r="H63" s="13" t="s">
        <v>316</v>
      </c>
      <c r="I63" s="13" t="s">
        <v>317</v>
      </c>
      <c r="J63" s="13" t="s">
        <v>484</v>
      </c>
      <c r="K63" s="13" t="s">
        <v>485</v>
      </c>
    </row>
    <row r="64" spans="1:11" ht="19.5" customHeight="1" x14ac:dyDescent="0.25">
      <c r="A64" s="13" t="s">
        <v>216</v>
      </c>
      <c r="B64" s="13" t="s">
        <v>312</v>
      </c>
      <c r="C64" s="13" t="s">
        <v>313</v>
      </c>
      <c r="D64" s="14" t="s">
        <v>314</v>
      </c>
      <c r="E64" s="13" t="s">
        <v>315</v>
      </c>
      <c r="F64" s="14">
        <v>5</v>
      </c>
      <c r="G64" s="14">
        <v>1</v>
      </c>
      <c r="H64" s="13" t="s">
        <v>316</v>
      </c>
      <c r="I64" s="13" t="s">
        <v>317</v>
      </c>
      <c r="J64" s="13" t="s">
        <v>486</v>
      </c>
      <c r="K64" s="13" t="s">
        <v>487</v>
      </c>
    </row>
    <row r="65" spans="1:11" ht="19.5" customHeight="1" x14ac:dyDescent="0.25">
      <c r="A65" s="13" t="s">
        <v>488</v>
      </c>
      <c r="B65" s="13" t="s">
        <v>312</v>
      </c>
      <c r="C65" s="13" t="s">
        <v>313</v>
      </c>
      <c r="D65" s="14" t="s">
        <v>314</v>
      </c>
      <c r="E65" s="13" t="s">
        <v>315</v>
      </c>
      <c r="F65" s="14">
        <v>5</v>
      </c>
      <c r="G65" s="14">
        <v>1</v>
      </c>
      <c r="H65" s="13" t="s">
        <v>316</v>
      </c>
      <c r="I65" s="13" t="s">
        <v>317</v>
      </c>
      <c r="J65" s="13" t="s">
        <v>489</v>
      </c>
      <c r="K65" s="13" t="s">
        <v>490</v>
      </c>
    </row>
    <row r="66" spans="1:11" ht="19.5" customHeight="1" x14ac:dyDescent="0.25">
      <c r="A66" s="13" t="s">
        <v>491</v>
      </c>
      <c r="B66" s="13" t="s">
        <v>312</v>
      </c>
      <c r="C66" s="13" t="s">
        <v>313</v>
      </c>
      <c r="D66" s="14" t="s">
        <v>314</v>
      </c>
      <c r="E66" s="13" t="s">
        <v>315</v>
      </c>
      <c r="F66" s="14">
        <v>5</v>
      </c>
      <c r="G66" s="14">
        <v>1</v>
      </c>
      <c r="H66" s="13" t="s">
        <v>316</v>
      </c>
      <c r="I66" s="13" t="s">
        <v>317</v>
      </c>
      <c r="J66" s="13" t="s">
        <v>492</v>
      </c>
      <c r="K66" s="13" t="s">
        <v>493</v>
      </c>
    </row>
    <row r="67" spans="1:11" ht="19.5" customHeight="1" x14ac:dyDescent="0.25">
      <c r="A67" s="13" t="s">
        <v>223</v>
      </c>
      <c r="B67" s="13" t="s">
        <v>312</v>
      </c>
      <c r="C67" s="13" t="s">
        <v>313</v>
      </c>
      <c r="D67" s="14" t="s">
        <v>314</v>
      </c>
      <c r="E67" s="13" t="s">
        <v>315</v>
      </c>
      <c r="F67" s="14">
        <v>5</v>
      </c>
      <c r="G67" s="14">
        <v>1</v>
      </c>
      <c r="H67" s="13" t="s">
        <v>316</v>
      </c>
      <c r="I67" s="13" t="s">
        <v>317</v>
      </c>
      <c r="J67" s="13" t="s">
        <v>494</v>
      </c>
      <c r="K67" s="13" t="s">
        <v>495</v>
      </c>
    </row>
    <row r="68" spans="1:11" ht="19.5" customHeight="1" x14ac:dyDescent="0.25">
      <c r="A68" s="13" t="s">
        <v>496</v>
      </c>
      <c r="B68" s="13" t="s">
        <v>312</v>
      </c>
      <c r="C68" s="13" t="s">
        <v>313</v>
      </c>
      <c r="D68" s="14" t="s">
        <v>314</v>
      </c>
      <c r="E68" s="13" t="s">
        <v>315</v>
      </c>
      <c r="F68" s="14">
        <v>5</v>
      </c>
      <c r="G68" s="14">
        <v>1</v>
      </c>
      <c r="H68" s="13" t="s">
        <v>316</v>
      </c>
      <c r="I68" s="13" t="s">
        <v>317</v>
      </c>
      <c r="J68" s="13" t="s">
        <v>497</v>
      </c>
      <c r="K68" s="13" t="s">
        <v>498</v>
      </c>
    </row>
    <row r="69" spans="1:11" ht="19.5" customHeight="1" x14ac:dyDescent="0.25">
      <c r="A69" s="13" t="s">
        <v>499</v>
      </c>
      <c r="B69" s="13" t="s">
        <v>312</v>
      </c>
      <c r="C69" s="13" t="s">
        <v>313</v>
      </c>
      <c r="D69" s="14" t="s">
        <v>314</v>
      </c>
      <c r="E69" s="13" t="s">
        <v>315</v>
      </c>
      <c r="F69" s="14">
        <v>5</v>
      </c>
      <c r="G69" s="14">
        <v>1</v>
      </c>
      <c r="H69" s="13" t="s">
        <v>316</v>
      </c>
      <c r="I69" s="13" t="s">
        <v>317</v>
      </c>
      <c r="J69" s="13" t="s">
        <v>500</v>
      </c>
      <c r="K69" s="13" t="s">
        <v>501</v>
      </c>
    </row>
    <row r="70" spans="1:11" ht="19.5" customHeight="1" x14ac:dyDescent="0.25">
      <c r="A70" s="13" t="s">
        <v>502</v>
      </c>
      <c r="B70" s="13" t="s">
        <v>312</v>
      </c>
      <c r="C70" s="13" t="s">
        <v>313</v>
      </c>
      <c r="D70" s="14" t="s">
        <v>314</v>
      </c>
      <c r="E70" s="13" t="s">
        <v>315</v>
      </c>
      <c r="F70" s="14">
        <v>5</v>
      </c>
      <c r="G70" s="14">
        <v>1</v>
      </c>
      <c r="H70" s="13" t="s">
        <v>316</v>
      </c>
      <c r="I70" s="13" t="s">
        <v>317</v>
      </c>
      <c r="J70" s="13" t="s">
        <v>503</v>
      </c>
      <c r="K70" s="13" t="s">
        <v>504</v>
      </c>
    </row>
    <row r="71" spans="1:11" ht="19.5" customHeight="1" x14ac:dyDescent="0.25">
      <c r="A71" s="13" t="s">
        <v>505</v>
      </c>
      <c r="B71" s="13" t="s">
        <v>312</v>
      </c>
      <c r="C71" s="13" t="s">
        <v>313</v>
      </c>
      <c r="D71" s="14" t="s">
        <v>314</v>
      </c>
      <c r="E71" s="13" t="s">
        <v>315</v>
      </c>
      <c r="F71" s="14">
        <v>5</v>
      </c>
      <c r="G71" s="14">
        <v>1</v>
      </c>
      <c r="H71" s="13" t="s">
        <v>316</v>
      </c>
      <c r="I71" s="13" t="s">
        <v>317</v>
      </c>
      <c r="J71" s="13" t="s">
        <v>506</v>
      </c>
      <c r="K71" s="13" t="s">
        <v>507</v>
      </c>
    </row>
    <row r="72" spans="1:11" ht="19.5" customHeight="1" x14ac:dyDescent="0.25">
      <c r="A72" s="13" t="s">
        <v>508</v>
      </c>
      <c r="B72" s="13" t="s">
        <v>312</v>
      </c>
      <c r="C72" s="13" t="s">
        <v>313</v>
      </c>
      <c r="D72" s="14" t="s">
        <v>314</v>
      </c>
      <c r="E72" s="13" t="s">
        <v>315</v>
      </c>
      <c r="F72" s="14">
        <v>5</v>
      </c>
      <c r="G72" s="14">
        <v>1</v>
      </c>
      <c r="H72" s="13" t="s">
        <v>316</v>
      </c>
      <c r="I72" s="13" t="s">
        <v>317</v>
      </c>
      <c r="J72" s="13" t="s">
        <v>509</v>
      </c>
      <c r="K72" s="13" t="s">
        <v>510</v>
      </c>
    </row>
    <row r="73" spans="1:11" ht="19.5" customHeight="1" x14ac:dyDescent="0.25">
      <c r="A73" s="13" t="s">
        <v>243</v>
      </c>
      <c r="B73" s="13" t="s">
        <v>312</v>
      </c>
      <c r="C73" s="13" t="s">
        <v>313</v>
      </c>
      <c r="D73" s="14" t="s">
        <v>314</v>
      </c>
      <c r="E73" s="13" t="s">
        <v>315</v>
      </c>
      <c r="F73" s="14">
        <v>5</v>
      </c>
      <c r="G73" s="14">
        <v>1</v>
      </c>
      <c r="H73" s="13" t="s">
        <v>316</v>
      </c>
      <c r="I73" s="13" t="s">
        <v>317</v>
      </c>
      <c r="J73" s="13" t="s">
        <v>511</v>
      </c>
      <c r="K73" s="13" t="s">
        <v>512</v>
      </c>
    </row>
    <row r="74" spans="1:11" ht="19.5" customHeight="1" x14ac:dyDescent="0.25">
      <c r="A74" s="13" t="s">
        <v>513</v>
      </c>
      <c r="B74" s="13" t="s">
        <v>312</v>
      </c>
      <c r="C74" s="13" t="s">
        <v>313</v>
      </c>
      <c r="D74" s="14" t="s">
        <v>314</v>
      </c>
      <c r="E74" s="13" t="s">
        <v>315</v>
      </c>
      <c r="F74" s="14">
        <v>5</v>
      </c>
      <c r="G74" s="14">
        <v>1</v>
      </c>
      <c r="H74" s="13" t="s">
        <v>316</v>
      </c>
      <c r="I74" s="13" t="s">
        <v>317</v>
      </c>
      <c r="J74" s="13" t="s">
        <v>514</v>
      </c>
      <c r="K74" s="13" t="s">
        <v>515</v>
      </c>
    </row>
    <row r="75" spans="1:11" ht="19.5" customHeight="1" x14ac:dyDescent="0.25">
      <c r="A75" s="13" t="s">
        <v>516</v>
      </c>
      <c r="B75" s="13" t="s">
        <v>312</v>
      </c>
      <c r="C75" s="13" t="s">
        <v>313</v>
      </c>
      <c r="D75" s="14" t="s">
        <v>314</v>
      </c>
      <c r="E75" s="13" t="s">
        <v>315</v>
      </c>
      <c r="F75" s="14">
        <v>5</v>
      </c>
      <c r="G75" s="14">
        <v>1</v>
      </c>
      <c r="H75" s="13" t="s">
        <v>316</v>
      </c>
      <c r="I75" s="13" t="s">
        <v>317</v>
      </c>
      <c r="J75" s="13" t="s">
        <v>517</v>
      </c>
      <c r="K75" s="13" t="s">
        <v>518</v>
      </c>
    </row>
    <row r="76" spans="1:11" ht="19.5" customHeight="1" x14ac:dyDescent="0.25">
      <c r="A76" s="13" t="s">
        <v>519</v>
      </c>
      <c r="B76" s="13" t="s">
        <v>312</v>
      </c>
      <c r="C76" s="13" t="s">
        <v>313</v>
      </c>
      <c r="D76" s="14" t="s">
        <v>314</v>
      </c>
      <c r="E76" s="13" t="s">
        <v>315</v>
      </c>
      <c r="F76" s="14">
        <v>5</v>
      </c>
      <c r="G76" s="14">
        <v>1</v>
      </c>
      <c r="H76" s="13" t="s">
        <v>316</v>
      </c>
      <c r="I76" s="13" t="s">
        <v>317</v>
      </c>
      <c r="J76" s="13" t="s">
        <v>520</v>
      </c>
      <c r="K76" s="13" t="s">
        <v>521</v>
      </c>
    </row>
    <row r="77" spans="1:11" ht="19.5" customHeight="1" x14ac:dyDescent="0.25">
      <c r="A77" s="13" t="s">
        <v>522</v>
      </c>
      <c r="B77" s="13" t="s">
        <v>312</v>
      </c>
      <c r="C77" s="13" t="s">
        <v>313</v>
      </c>
      <c r="D77" s="14" t="s">
        <v>314</v>
      </c>
      <c r="E77" s="13" t="s">
        <v>315</v>
      </c>
      <c r="F77" s="14">
        <v>5</v>
      </c>
      <c r="G77" s="14">
        <v>1</v>
      </c>
      <c r="H77" s="13" t="s">
        <v>316</v>
      </c>
      <c r="I77" s="13" t="s">
        <v>317</v>
      </c>
      <c r="J77" s="13" t="s">
        <v>523</v>
      </c>
      <c r="K77" s="13" t="s">
        <v>524</v>
      </c>
    </row>
    <row r="78" spans="1:11" ht="19.5" customHeight="1" x14ac:dyDescent="0.25">
      <c r="A78" s="13" t="s">
        <v>287</v>
      </c>
      <c r="B78" s="13" t="s">
        <v>312</v>
      </c>
      <c r="C78" s="13" t="s">
        <v>313</v>
      </c>
      <c r="D78" s="14" t="s">
        <v>314</v>
      </c>
      <c r="E78" s="13" t="s">
        <v>315</v>
      </c>
      <c r="F78" s="14">
        <v>5</v>
      </c>
      <c r="G78" s="14">
        <v>1</v>
      </c>
      <c r="H78" s="13" t="s">
        <v>316</v>
      </c>
      <c r="I78" s="13" t="s">
        <v>317</v>
      </c>
      <c r="J78" s="13" t="s">
        <v>525</v>
      </c>
      <c r="K78" s="13" t="s">
        <v>526</v>
      </c>
    </row>
    <row r="79" spans="1:11" ht="19.5" customHeight="1" x14ac:dyDescent="0.25">
      <c r="A79" s="13" t="s">
        <v>527</v>
      </c>
      <c r="B79" s="13" t="s">
        <v>312</v>
      </c>
      <c r="C79" s="13" t="s">
        <v>313</v>
      </c>
      <c r="D79" s="14" t="s">
        <v>314</v>
      </c>
      <c r="E79" s="13" t="s">
        <v>315</v>
      </c>
      <c r="F79" s="14">
        <v>5</v>
      </c>
      <c r="G79" s="14">
        <v>1</v>
      </c>
      <c r="H79" s="13" t="s">
        <v>316</v>
      </c>
      <c r="I79" s="13" t="s">
        <v>317</v>
      </c>
      <c r="J79" s="13" t="s">
        <v>528</v>
      </c>
      <c r="K79" s="13" t="s">
        <v>529</v>
      </c>
    </row>
    <row r="80" spans="1:11" ht="19.5" customHeight="1" x14ac:dyDescent="0.25">
      <c r="A80" s="13" t="s">
        <v>530</v>
      </c>
      <c r="B80" s="13" t="s">
        <v>312</v>
      </c>
      <c r="C80" s="13" t="s">
        <v>313</v>
      </c>
      <c r="D80" s="14" t="s">
        <v>314</v>
      </c>
      <c r="E80" s="13" t="s">
        <v>315</v>
      </c>
      <c r="F80" s="14">
        <v>5</v>
      </c>
      <c r="G80" s="14">
        <v>1</v>
      </c>
      <c r="H80" s="13" t="s">
        <v>316</v>
      </c>
      <c r="I80" s="13" t="s">
        <v>317</v>
      </c>
      <c r="J80" s="13" t="s">
        <v>531</v>
      </c>
      <c r="K80" s="13" t="s">
        <v>532</v>
      </c>
    </row>
    <row r="81" spans="1:11" ht="19.5" customHeight="1" x14ac:dyDescent="0.25">
      <c r="A81" s="13" t="s">
        <v>533</v>
      </c>
      <c r="B81" s="13" t="s">
        <v>312</v>
      </c>
      <c r="C81" s="13" t="s">
        <v>313</v>
      </c>
      <c r="D81" s="14" t="s">
        <v>314</v>
      </c>
      <c r="E81" s="13" t="s">
        <v>315</v>
      </c>
      <c r="F81" s="14">
        <v>5</v>
      </c>
      <c r="G81" s="14">
        <v>1</v>
      </c>
      <c r="H81" s="13" t="s">
        <v>316</v>
      </c>
      <c r="I81" s="13" t="s">
        <v>317</v>
      </c>
      <c r="J81" s="13" t="s">
        <v>534</v>
      </c>
      <c r="K81" s="13" t="s">
        <v>535</v>
      </c>
    </row>
    <row r="82" spans="1:11" ht="19.5" customHeight="1" x14ac:dyDescent="0.25">
      <c r="A82" s="13" t="s">
        <v>536</v>
      </c>
      <c r="B82" s="13" t="s">
        <v>312</v>
      </c>
      <c r="C82" s="13" t="s">
        <v>313</v>
      </c>
      <c r="D82" s="14" t="s">
        <v>314</v>
      </c>
      <c r="E82" s="13" t="s">
        <v>315</v>
      </c>
      <c r="F82" s="14">
        <v>5</v>
      </c>
      <c r="G82" s="14">
        <v>1</v>
      </c>
      <c r="H82" s="13" t="s">
        <v>316</v>
      </c>
      <c r="I82" s="13" t="s">
        <v>317</v>
      </c>
      <c r="J82" s="13" t="s">
        <v>537</v>
      </c>
      <c r="K82" s="13" t="s">
        <v>538</v>
      </c>
    </row>
    <row r="83" spans="1:11" ht="19.5" customHeight="1" x14ac:dyDescent="0.25">
      <c r="A83" s="13" t="s">
        <v>539</v>
      </c>
      <c r="B83" s="13" t="s">
        <v>312</v>
      </c>
      <c r="C83" s="13" t="s">
        <v>313</v>
      </c>
      <c r="D83" s="14" t="s">
        <v>314</v>
      </c>
      <c r="E83" s="13" t="s">
        <v>315</v>
      </c>
      <c r="F83" s="14">
        <v>5</v>
      </c>
      <c r="G83" s="14">
        <v>1</v>
      </c>
      <c r="H83" s="13" t="s">
        <v>316</v>
      </c>
      <c r="I83" s="13" t="s">
        <v>317</v>
      </c>
      <c r="J83" s="13" t="s">
        <v>540</v>
      </c>
      <c r="K83" s="13" t="s">
        <v>541</v>
      </c>
    </row>
    <row r="84" spans="1:11" ht="19.5" customHeight="1" x14ac:dyDescent="0.25">
      <c r="A84" s="13" t="s">
        <v>542</v>
      </c>
      <c r="B84" s="13" t="s">
        <v>312</v>
      </c>
      <c r="C84" s="13" t="s">
        <v>313</v>
      </c>
      <c r="D84" s="14" t="s">
        <v>314</v>
      </c>
      <c r="E84" s="13" t="s">
        <v>315</v>
      </c>
      <c r="F84" s="14">
        <v>5</v>
      </c>
      <c r="G84" s="14">
        <v>1</v>
      </c>
      <c r="H84" s="13" t="s">
        <v>316</v>
      </c>
      <c r="I84" s="13" t="s">
        <v>317</v>
      </c>
      <c r="J84" s="13" t="s">
        <v>543</v>
      </c>
      <c r="K84" s="13" t="s">
        <v>544</v>
      </c>
    </row>
    <row r="85" spans="1:11" ht="19.5" customHeight="1" x14ac:dyDescent="0.25">
      <c r="A85" s="13" t="s">
        <v>545</v>
      </c>
      <c r="B85" s="13" t="s">
        <v>312</v>
      </c>
      <c r="C85" s="13" t="s">
        <v>313</v>
      </c>
      <c r="D85" s="14" t="s">
        <v>314</v>
      </c>
      <c r="E85" s="13" t="s">
        <v>315</v>
      </c>
      <c r="F85" s="14">
        <v>5</v>
      </c>
      <c r="G85" s="14">
        <v>1</v>
      </c>
      <c r="H85" s="13" t="s">
        <v>316</v>
      </c>
      <c r="I85" s="13" t="s">
        <v>317</v>
      </c>
      <c r="J85" s="13" t="s">
        <v>546</v>
      </c>
      <c r="K85" s="13" t="s">
        <v>547</v>
      </c>
    </row>
    <row r="86" spans="1:11" ht="19.5" customHeight="1" x14ac:dyDescent="0.25">
      <c r="A86" s="13" t="s">
        <v>548</v>
      </c>
      <c r="B86" s="13" t="s">
        <v>312</v>
      </c>
      <c r="C86" s="13" t="s">
        <v>313</v>
      </c>
      <c r="D86" s="14" t="s">
        <v>314</v>
      </c>
      <c r="E86" s="13" t="s">
        <v>315</v>
      </c>
      <c r="F86" s="14">
        <v>5</v>
      </c>
      <c r="G86" s="14">
        <v>1</v>
      </c>
      <c r="H86" s="13" t="s">
        <v>316</v>
      </c>
      <c r="I86" s="13" t="s">
        <v>317</v>
      </c>
      <c r="J86" s="13" t="s">
        <v>549</v>
      </c>
      <c r="K86" s="13" t="s">
        <v>550</v>
      </c>
    </row>
    <row r="87" spans="1:11" ht="19.5" customHeight="1" x14ac:dyDescent="0.25">
      <c r="A87" s="13" t="s">
        <v>179</v>
      </c>
      <c r="B87" s="13" t="s">
        <v>312</v>
      </c>
      <c r="C87" s="13" t="s">
        <v>313</v>
      </c>
      <c r="D87" s="14" t="s">
        <v>314</v>
      </c>
      <c r="E87" s="13" t="s">
        <v>315</v>
      </c>
      <c r="F87" s="14">
        <v>5</v>
      </c>
      <c r="G87" s="14">
        <v>1</v>
      </c>
      <c r="H87" s="13" t="s">
        <v>316</v>
      </c>
      <c r="I87" s="13" t="s">
        <v>317</v>
      </c>
      <c r="J87" s="13" t="s">
        <v>551</v>
      </c>
      <c r="K87" s="13" t="s">
        <v>552</v>
      </c>
    </row>
    <row r="88" spans="1:11" ht="19.5" customHeight="1" x14ac:dyDescent="0.25">
      <c r="A88" s="13" t="s">
        <v>553</v>
      </c>
      <c r="B88" s="13" t="s">
        <v>312</v>
      </c>
      <c r="C88" s="13" t="s">
        <v>313</v>
      </c>
      <c r="D88" s="14" t="s">
        <v>314</v>
      </c>
      <c r="E88" s="13" t="s">
        <v>315</v>
      </c>
      <c r="F88" s="14">
        <v>5</v>
      </c>
      <c r="G88" s="14">
        <v>1</v>
      </c>
      <c r="H88" s="13" t="s">
        <v>316</v>
      </c>
      <c r="I88" s="13" t="s">
        <v>317</v>
      </c>
      <c r="J88" s="13" t="s">
        <v>554</v>
      </c>
      <c r="K88" s="13" t="s">
        <v>555</v>
      </c>
    </row>
    <row r="89" spans="1:11" ht="19.5" customHeight="1" x14ac:dyDescent="0.25">
      <c r="A89" s="13" t="s">
        <v>556</v>
      </c>
      <c r="B89" s="13" t="s">
        <v>312</v>
      </c>
      <c r="C89" s="13" t="s">
        <v>313</v>
      </c>
      <c r="D89" s="14" t="s">
        <v>314</v>
      </c>
      <c r="E89" s="13" t="s">
        <v>315</v>
      </c>
      <c r="F89" s="14">
        <v>5</v>
      </c>
      <c r="G89" s="14">
        <v>1</v>
      </c>
      <c r="H89" s="13" t="s">
        <v>316</v>
      </c>
      <c r="I89" s="13" t="s">
        <v>317</v>
      </c>
      <c r="J89" s="13" t="s">
        <v>557</v>
      </c>
      <c r="K89" s="13" t="s">
        <v>558</v>
      </c>
    </row>
    <row r="90" spans="1:11" ht="19.5" customHeight="1" x14ac:dyDescent="0.25">
      <c r="A90" s="13" t="s">
        <v>559</v>
      </c>
      <c r="B90" s="13" t="s">
        <v>312</v>
      </c>
      <c r="C90" s="13" t="s">
        <v>313</v>
      </c>
      <c r="D90" s="14" t="s">
        <v>314</v>
      </c>
      <c r="E90" s="13" t="s">
        <v>315</v>
      </c>
      <c r="F90" s="14">
        <v>5</v>
      </c>
      <c r="G90" s="14">
        <v>1</v>
      </c>
      <c r="H90" s="13" t="s">
        <v>316</v>
      </c>
      <c r="I90" s="13" t="s">
        <v>317</v>
      </c>
      <c r="J90" s="13" t="s">
        <v>560</v>
      </c>
      <c r="K90" s="13" t="s">
        <v>561</v>
      </c>
    </row>
    <row r="91" spans="1:11" ht="19.5" customHeight="1" x14ac:dyDescent="0.25">
      <c r="A91" s="13" t="s">
        <v>562</v>
      </c>
      <c r="B91" s="13" t="s">
        <v>312</v>
      </c>
      <c r="C91" s="13" t="s">
        <v>313</v>
      </c>
      <c r="D91" s="14" t="s">
        <v>314</v>
      </c>
      <c r="E91" s="13" t="s">
        <v>315</v>
      </c>
      <c r="F91" s="14">
        <v>5</v>
      </c>
      <c r="G91" s="14">
        <v>1</v>
      </c>
      <c r="H91" s="13" t="s">
        <v>316</v>
      </c>
      <c r="I91" s="13" t="s">
        <v>317</v>
      </c>
      <c r="J91" s="13" t="s">
        <v>563</v>
      </c>
      <c r="K91" s="13" t="s">
        <v>564</v>
      </c>
    </row>
    <row r="92" spans="1:11" ht="19.5" customHeight="1" x14ac:dyDescent="0.25">
      <c r="A92" s="13" t="s">
        <v>565</v>
      </c>
      <c r="B92" s="13" t="s">
        <v>312</v>
      </c>
      <c r="C92" s="13" t="s">
        <v>313</v>
      </c>
      <c r="D92" s="14" t="s">
        <v>314</v>
      </c>
      <c r="E92" s="13" t="s">
        <v>315</v>
      </c>
      <c r="F92" s="14">
        <v>5</v>
      </c>
      <c r="G92" s="14">
        <v>1</v>
      </c>
      <c r="H92" s="13" t="s">
        <v>316</v>
      </c>
      <c r="I92" s="13" t="s">
        <v>317</v>
      </c>
      <c r="J92" s="13" t="s">
        <v>566</v>
      </c>
      <c r="K92" s="13" t="s">
        <v>567</v>
      </c>
    </row>
    <row r="93" spans="1:11" ht="19.5" customHeight="1" x14ac:dyDescent="0.25">
      <c r="A93" s="13" t="s">
        <v>568</v>
      </c>
      <c r="B93" s="13" t="s">
        <v>312</v>
      </c>
      <c r="C93" s="13" t="s">
        <v>313</v>
      </c>
      <c r="D93" s="14" t="s">
        <v>314</v>
      </c>
      <c r="E93" s="13" t="s">
        <v>315</v>
      </c>
      <c r="F93" s="14">
        <v>5</v>
      </c>
      <c r="G93" s="14">
        <v>1</v>
      </c>
      <c r="H93" s="13" t="s">
        <v>316</v>
      </c>
      <c r="I93" s="13" t="s">
        <v>317</v>
      </c>
      <c r="J93" s="13" t="s">
        <v>569</v>
      </c>
      <c r="K93" s="13" t="s">
        <v>570</v>
      </c>
    </row>
    <row r="94" spans="1:11" ht="19.5" customHeight="1" x14ac:dyDescent="0.25">
      <c r="A94" s="13" t="s">
        <v>571</v>
      </c>
      <c r="B94" s="13" t="s">
        <v>312</v>
      </c>
      <c r="C94" s="13" t="s">
        <v>313</v>
      </c>
      <c r="D94" s="14" t="s">
        <v>314</v>
      </c>
      <c r="E94" s="13" t="s">
        <v>315</v>
      </c>
      <c r="F94" s="14">
        <v>5</v>
      </c>
      <c r="G94" s="14">
        <v>1</v>
      </c>
      <c r="H94" s="13" t="s">
        <v>316</v>
      </c>
      <c r="I94" s="13" t="s">
        <v>317</v>
      </c>
      <c r="J94" s="13" t="s">
        <v>572</v>
      </c>
      <c r="K94" s="13" t="s">
        <v>573</v>
      </c>
    </row>
    <row r="95" spans="1:11" ht="19.5" customHeight="1" x14ac:dyDescent="0.25">
      <c r="A95" s="13" t="s">
        <v>574</v>
      </c>
      <c r="B95" s="13" t="s">
        <v>312</v>
      </c>
      <c r="C95" s="13" t="s">
        <v>313</v>
      </c>
      <c r="D95" s="14" t="s">
        <v>314</v>
      </c>
      <c r="E95" s="13" t="s">
        <v>315</v>
      </c>
      <c r="F95" s="14">
        <v>5</v>
      </c>
      <c r="G95" s="14">
        <v>1</v>
      </c>
      <c r="H95" s="13" t="s">
        <v>316</v>
      </c>
      <c r="I95" s="13" t="s">
        <v>317</v>
      </c>
      <c r="J95" s="13" t="s">
        <v>575</v>
      </c>
      <c r="K95" s="13" t="s">
        <v>576</v>
      </c>
    </row>
    <row r="96" spans="1:11" ht="19.5" customHeight="1" x14ac:dyDescent="0.25">
      <c r="A96" s="13" t="s">
        <v>192</v>
      </c>
      <c r="B96" s="13" t="s">
        <v>312</v>
      </c>
      <c r="C96" s="13" t="s">
        <v>313</v>
      </c>
      <c r="D96" s="14" t="s">
        <v>314</v>
      </c>
      <c r="E96" s="13" t="s">
        <v>315</v>
      </c>
      <c r="F96" s="14">
        <v>5</v>
      </c>
      <c r="G96" s="14">
        <v>1</v>
      </c>
      <c r="H96" s="13" t="s">
        <v>316</v>
      </c>
      <c r="I96" s="13" t="s">
        <v>317</v>
      </c>
      <c r="J96" s="13" t="s">
        <v>577</v>
      </c>
      <c r="K96" s="13" t="s">
        <v>578</v>
      </c>
    </row>
    <row r="97" spans="1:11" ht="19.5" customHeight="1" x14ac:dyDescent="0.25">
      <c r="A97" s="13" t="s">
        <v>579</v>
      </c>
      <c r="B97" s="13" t="s">
        <v>312</v>
      </c>
      <c r="C97" s="13" t="s">
        <v>313</v>
      </c>
      <c r="D97" s="14" t="s">
        <v>314</v>
      </c>
      <c r="E97" s="13" t="s">
        <v>315</v>
      </c>
      <c r="F97" s="14">
        <v>5</v>
      </c>
      <c r="G97" s="14">
        <v>1</v>
      </c>
      <c r="H97" s="13" t="s">
        <v>316</v>
      </c>
      <c r="I97" s="13" t="s">
        <v>317</v>
      </c>
      <c r="J97" s="13" t="s">
        <v>580</v>
      </c>
      <c r="K97" s="13" t="s">
        <v>581</v>
      </c>
    </row>
    <row r="98" spans="1:11" ht="19.5" customHeight="1" x14ac:dyDescent="0.25">
      <c r="A98" s="13" t="s">
        <v>219</v>
      </c>
      <c r="B98" s="13" t="s">
        <v>312</v>
      </c>
      <c r="C98" s="13" t="s">
        <v>313</v>
      </c>
      <c r="D98" s="14" t="s">
        <v>314</v>
      </c>
      <c r="E98" s="13" t="s">
        <v>315</v>
      </c>
      <c r="F98" s="14">
        <v>5</v>
      </c>
      <c r="G98" s="14">
        <v>1</v>
      </c>
      <c r="H98" s="13" t="s">
        <v>316</v>
      </c>
      <c r="I98" s="13" t="s">
        <v>317</v>
      </c>
      <c r="J98" s="13" t="s">
        <v>582</v>
      </c>
      <c r="K98" s="13" t="s">
        <v>583</v>
      </c>
    </row>
    <row r="99" spans="1:11" ht="19.5" customHeight="1" x14ac:dyDescent="0.2"/>
    <row r="100" spans="1:11" ht="19.5" customHeight="1" x14ac:dyDescent="0.2"/>
    <row r="101" spans="1:11" ht="19.5" customHeight="1" x14ac:dyDescent="0.2"/>
    <row r="102" spans="1:11" ht="19.5" customHeight="1" x14ac:dyDescent="0.2"/>
    <row r="103" spans="1:11" ht="19.5" customHeight="1" x14ac:dyDescent="0.2"/>
    <row r="104" spans="1:11" ht="19.5" customHeight="1" x14ac:dyDescent="0.2"/>
    <row r="105" spans="1:11" ht="19.5" customHeight="1" x14ac:dyDescent="0.2"/>
    <row r="106" spans="1:11" ht="19.5" customHeight="1" x14ac:dyDescent="0.2"/>
    <row r="107" spans="1:11" ht="19.5" customHeight="1" x14ac:dyDescent="0.2"/>
    <row r="108" spans="1:11" ht="19.5" customHeight="1" x14ac:dyDescent="0.2"/>
    <row r="109" spans="1:11" ht="19.5" customHeight="1" x14ac:dyDescent="0.2"/>
    <row r="110" spans="1:11" ht="19.5" customHeight="1" x14ac:dyDescent="0.2"/>
    <row r="111" spans="1:11" ht="19.5" customHeight="1" x14ac:dyDescent="0.2"/>
    <row r="112" spans="1:11" ht="19.5" customHeight="1" x14ac:dyDescent="0.2"/>
    <row r="113" ht="19.5" customHeight="1" x14ac:dyDescent="0.2"/>
    <row r="114" ht="19.5" customHeight="1" x14ac:dyDescent="0.2"/>
    <row r="115" ht="19.5" customHeight="1" x14ac:dyDescent="0.2"/>
    <row r="116" ht="19.5" customHeight="1" x14ac:dyDescent="0.2"/>
    <row r="117" ht="19.5" customHeight="1" x14ac:dyDescent="0.2"/>
    <row r="118" ht="19.5" customHeight="1" x14ac:dyDescent="0.2"/>
    <row r="119" ht="19.5" customHeight="1" x14ac:dyDescent="0.2"/>
    <row r="120" ht="19.5" customHeight="1" x14ac:dyDescent="0.2"/>
    <row r="121" ht="19.5" customHeight="1" x14ac:dyDescent="0.2"/>
    <row r="122" ht="19.5" customHeight="1" x14ac:dyDescent="0.2"/>
    <row r="123" ht="19.5" customHeight="1" x14ac:dyDescent="0.2"/>
    <row r="124" ht="19.5" customHeight="1" x14ac:dyDescent="0.2"/>
    <row r="125" ht="19.5" customHeight="1" x14ac:dyDescent="0.2"/>
    <row r="126" ht="19.5" customHeight="1" x14ac:dyDescent="0.2"/>
    <row r="127" ht="19.5" customHeight="1" x14ac:dyDescent="0.2"/>
    <row r="128" ht="19.5" customHeight="1" x14ac:dyDescent="0.2"/>
    <row r="129" ht="19.5" customHeight="1" x14ac:dyDescent="0.2"/>
    <row r="130" ht="19.5" customHeight="1" x14ac:dyDescent="0.2"/>
    <row r="131" ht="19.5" customHeight="1" x14ac:dyDescent="0.2"/>
    <row r="132" ht="19.5" customHeight="1" x14ac:dyDescent="0.2"/>
    <row r="133" ht="19.5" customHeight="1" x14ac:dyDescent="0.2"/>
    <row r="134" ht="19.5" customHeight="1" x14ac:dyDescent="0.2"/>
    <row r="135" ht="19.5" customHeight="1" x14ac:dyDescent="0.2"/>
    <row r="136" ht="19.5" customHeight="1" x14ac:dyDescent="0.2"/>
    <row r="137" ht="19.5" customHeight="1" x14ac:dyDescent="0.2"/>
    <row r="138" ht="19.5" customHeight="1" x14ac:dyDescent="0.2"/>
    <row r="139" ht="19.5" customHeight="1" x14ac:dyDescent="0.2"/>
    <row r="140" ht="19.5" customHeight="1" x14ac:dyDescent="0.2"/>
    <row r="141" ht="19.5" customHeight="1" x14ac:dyDescent="0.2"/>
    <row r="142" ht="19.5" customHeight="1" x14ac:dyDescent="0.2"/>
    <row r="143" ht="19.5" customHeight="1" x14ac:dyDescent="0.2"/>
    <row r="144" ht="19.5" customHeight="1" x14ac:dyDescent="0.2"/>
    <row r="145" ht="19.5" customHeight="1" x14ac:dyDescent="0.2"/>
    <row r="146" ht="19.5" customHeight="1" x14ac:dyDescent="0.2"/>
    <row r="147" ht="19.5" customHeight="1" x14ac:dyDescent="0.2"/>
    <row r="148" ht="19.5" customHeight="1" x14ac:dyDescent="0.2"/>
    <row r="149" ht="19.5" customHeight="1" x14ac:dyDescent="0.2"/>
    <row r="150" ht="19.5" customHeight="1" x14ac:dyDescent="0.2"/>
    <row r="151" ht="19.5" customHeight="1" x14ac:dyDescent="0.2"/>
    <row r="152" ht="19.5" customHeight="1" x14ac:dyDescent="0.2"/>
    <row r="153" ht="19.5" customHeight="1" x14ac:dyDescent="0.2"/>
    <row r="154" ht="19.5" customHeight="1" x14ac:dyDescent="0.2"/>
    <row r="155" ht="19.5" customHeight="1" x14ac:dyDescent="0.2"/>
    <row r="156" ht="19.5" customHeight="1" x14ac:dyDescent="0.2"/>
    <row r="157" ht="19.5" customHeight="1" x14ac:dyDescent="0.2"/>
    <row r="158" ht="19.5" customHeight="1" x14ac:dyDescent="0.2"/>
    <row r="159" ht="19.5" customHeight="1" x14ac:dyDescent="0.2"/>
    <row r="160" ht="19.5" customHeight="1" x14ac:dyDescent="0.2"/>
    <row r="161" ht="19.5" customHeight="1" x14ac:dyDescent="0.2"/>
    <row r="162" ht="19.5" customHeight="1" x14ac:dyDescent="0.2"/>
    <row r="163" ht="19.5" customHeight="1" x14ac:dyDescent="0.2"/>
    <row r="164" ht="19.5" customHeight="1" x14ac:dyDescent="0.2"/>
    <row r="165" ht="19.5" customHeight="1" x14ac:dyDescent="0.2"/>
    <row r="166" ht="19.5" customHeight="1" x14ac:dyDescent="0.2"/>
    <row r="167" ht="19.5" customHeight="1" x14ac:dyDescent="0.2"/>
    <row r="168" ht="19.5" customHeight="1" x14ac:dyDescent="0.2"/>
    <row r="169" ht="19.5" customHeight="1" x14ac:dyDescent="0.2"/>
    <row r="170" ht="19.5" customHeight="1" x14ac:dyDescent="0.2"/>
    <row r="171" ht="19.5" customHeight="1" x14ac:dyDescent="0.2"/>
    <row r="172" ht="19.5" customHeight="1" x14ac:dyDescent="0.2"/>
    <row r="173" ht="19.5" customHeight="1" x14ac:dyDescent="0.2"/>
    <row r="174" ht="19.5" customHeight="1" x14ac:dyDescent="0.2"/>
    <row r="175" ht="19.5" customHeight="1" x14ac:dyDescent="0.2"/>
    <row r="176" ht="19.5" customHeight="1" x14ac:dyDescent="0.2"/>
    <row r="177" ht="19.5" customHeight="1" x14ac:dyDescent="0.2"/>
    <row r="178" ht="19.5" customHeight="1" x14ac:dyDescent="0.2"/>
    <row r="179" ht="19.5" customHeight="1" x14ac:dyDescent="0.2"/>
    <row r="180" ht="19.5" customHeight="1" x14ac:dyDescent="0.2"/>
    <row r="181" ht="19.5" customHeight="1" x14ac:dyDescent="0.2"/>
    <row r="182" ht="19.5" customHeight="1" x14ac:dyDescent="0.2"/>
    <row r="183" ht="19.5" customHeight="1" x14ac:dyDescent="0.2"/>
    <row r="184" ht="19.5" customHeight="1" x14ac:dyDescent="0.2"/>
    <row r="185" ht="19.5" customHeight="1" x14ac:dyDescent="0.2"/>
    <row r="186" ht="19.5" customHeight="1" x14ac:dyDescent="0.2"/>
    <row r="187" ht="19.5" customHeight="1" x14ac:dyDescent="0.2"/>
    <row r="188" ht="19.5" customHeight="1" x14ac:dyDescent="0.2"/>
    <row r="189" ht="19.5" customHeight="1" x14ac:dyDescent="0.2"/>
    <row r="190" ht="19.5" customHeight="1" x14ac:dyDescent="0.2"/>
    <row r="191" ht="19.5" customHeight="1" x14ac:dyDescent="0.2"/>
    <row r="192" ht="19.5" customHeight="1" x14ac:dyDescent="0.2"/>
    <row r="193" ht="19.5" customHeight="1" x14ac:dyDescent="0.2"/>
    <row r="194" ht="19.5" customHeight="1" x14ac:dyDescent="0.2"/>
    <row r="195" ht="19.5" customHeight="1" x14ac:dyDescent="0.2"/>
    <row r="196" ht="19.5" customHeight="1" x14ac:dyDescent="0.2"/>
    <row r="197" ht="19.5" customHeight="1" x14ac:dyDescent="0.2"/>
    <row r="198" ht="19.5" customHeight="1" x14ac:dyDescent="0.2"/>
    <row r="199" ht="19.5" customHeight="1" x14ac:dyDescent="0.2"/>
    <row r="200" ht="19.5" customHeight="1" x14ac:dyDescent="0.2"/>
    <row r="201" ht="19.5" customHeight="1" x14ac:dyDescent="0.2"/>
    <row r="202" ht="19.5" customHeight="1" x14ac:dyDescent="0.2"/>
    <row r="203" ht="19.5" customHeight="1" x14ac:dyDescent="0.2"/>
    <row r="204" ht="19.5" customHeight="1" x14ac:dyDescent="0.2"/>
    <row r="205" ht="19.5" customHeight="1" x14ac:dyDescent="0.2"/>
    <row r="206" ht="19.5" customHeight="1" x14ac:dyDescent="0.2"/>
    <row r="207" ht="19.5" customHeight="1" x14ac:dyDescent="0.2"/>
    <row r="208" ht="19.5" customHeight="1" x14ac:dyDescent="0.2"/>
    <row r="209" ht="19.5" customHeight="1" x14ac:dyDescent="0.2"/>
    <row r="210" ht="19.5" customHeight="1" x14ac:dyDescent="0.2"/>
    <row r="211" ht="19.5" customHeight="1" x14ac:dyDescent="0.2"/>
    <row r="212" ht="19.5" customHeight="1" x14ac:dyDescent="0.2"/>
    <row r="213" ht="19.5" customHeight="1" x14ac:dyDescent="0.2"/>
    <row r="214" ht="19.5" customHeight="1" x14ac:dyDescent="0.2"/>
    <row r="215" ht="19.5" customHeight="1" x14ac:dyDescent="0.2"/>
    <row r="216" ht="19.5" customHeight="1" x14ac:dyDescent="0.2"/>
    <row r="217" ht="19.5" customHeight="1" x14ac:dyDescent="0.2"/>
    <row r="218" ht="19.5" customHeight="1" x14ac:dyDescent="0.2"/>
    <row r="219" ht="19.5" customHeight="1" x14ac:dyDescent="0.2"/>
    <row r="220" ht="19.5" customHeight="1" x14ac:dyDescent="0.2"/>
    <row r="221" ht="19.5" customHeight="1" x14ac:dyDescent="0.2"/>
    <row r="222" ht="19.5" customHeight="1" x14ac:dyDescent="0.2"/>
    <row r="223" ht="19.5" customHeight="1" x14ac:dyDescent="0.2"/>
    <row r="224" ht="19.5" customHeight="1" x14ac:dyDescent="0.2"/>
    <row r="225" ht="19.5" customHeight="1" x14ac:dyDescent="0.2"/>
    <row r="226" ht="19.5" customHeight="1" x14ac:dyDescent="0.2"/>
    <row r="227" ht="19.5" customHeight="1" x14ac:dyDescent="0.2"/>
    <row r="228" ht="19.5" customHeight="1" x14ac:dyDescent="0.2"/>
    <row r="229" ht="19.5" customHeight="1" x14ac:dyDescent="0.2"/>
    <row r="230" ht="19.5" customHeight="1" x14ac:dyDescent="0.2"/>
    <row r="231" ht="19.5" customHeight="1" x14ac:dyDescent="0.2"/>
    <row r="232" ht="19.5" customHeight="1" x14ac:dyDescent="0.2"/>
    <row r="233" ht="19.5" customHeight="1" x14ac:dyDescent="0.2"/>
    <row r="234" ht="19.5" customHeight="1" x14ac:dyDescent="0.2"/>
    <row r="235" ht="19.5" customHeight="1" x14ac:dyDescent="0.2"/>
    <row r="236" ht="19.5" customHeight="1" x14ac:dyDescent="0.2"/>
    <row r="237" ht="19.5" customHeight="1" x14ac:dyDescent="0.2"/>
    <row r="238" ht="19.5" customHeight="1" x14ac:dyDescent="0.2"/>
    <row r="239" ht="19.5" customHeight="1" x14ac:dyDescent="0.2"/>
    <row r="240" ht="19.5" customHeight="1" x14ac:dyDescent="0.2"/>
    <row r="241" ht="19.5" customHeight="1" x14ac:dyDescent="0.2"/>
    <row r="242" ht="19.5" customHeight="1" x14ac:dyDescent="0.2"/>
    <row r="243" ht="19.5" customHeight="1" x14ac:dyDescent="0.2"/>
    <row r="244" ht="19.5" customHeight="1" x14ac:dyDescent="0.2"/>
    <row r="245" ht="19.5" customHeight="1" x14ac:dyDescent="0.2"/>
    <row r="246" ht="19.5" customHeight="1" x14ac:dyDescent="0.2"/>
    <row r="247" ht="19.5" customHeight="1" x14ac:dyDescent="0.2"/>
    <row r="248" ht="19.5" customHeight="1" x14ac:dyDescent="0.2"/>
    <row r="249" ht="19.5" customHeight="1" x14ac:dyDescent="0.2"/>
    <row r="250" ht="19.5" customHeight="1" x14ac:dyDescent="0.2"/>
    <row r="251" ht="19.5" customHeight="1" x14ac:dyDescent="0.2"/>
    <row r="252" ht="19.5" customHeight="1" x14ac:dyDescent="0.2"/>
    <row r="253" ht="19.5" customHeight="1" x14ac:dyDescent="0.2"/>
    <row r="254" ht="19.5" customHeight="1" x14ac:dyDescent="0.2"/>
    <row r="255" ht="19.5" customHeight="1" x14ac:dyDescent="0.2"/>
    <row r="256" ht="19.5" customHeight="1" x14ac:dyDescent="0.2"/>
    <row r="257" ht="19.5" customHeight="1" x14ac:dyDescent="0.2"/>
    <row r="258" ht="19.5" customHeight="1" x14ac:dyDescent="0.2"/>
    <row r="259" ht="19.5" customHeight="1" x14ac:dyDescent="0.2"/>
    <row r="260" ht="19.5" customHeight="1" x14ac:dyDescent="0.2"/>
    <row r="261" ht="19.5" customHeight="1" x14ac:dyDescent="0.2"/>
    <row r="262" ht="19.5" customHeight="1" x14ac:dyDescent="0.2"/>
    <row r="263" ht="19.5" customHeight="1" x14ac:dyDescent="0.2"/>
    <row r="264" ht="19.5" customHeight="1" x14ac:dyDescent="0.2"/>
    <row r="265" ht="19.5" customHeight="1" x14ac:dyDescent="0.2"/>
    <row r="266" ht="19.5" customHeight="1" x14ac:dyDescent="0.2"/>
    <row r="267" ht="19.5" customHeight="1" x14ac:dyDescent="0.2"/>
    <row r="268" ht="19.5" customHeight="1" x14ac:dyDescent="0.2"/>
    <row r="269" ht="19.5" customHeight="1" x14ac:dyDescent="0.2"/>
    <row r="270" ht="19.5" customHeight="1" x14ac:dyDescent="0.2"/>
    <row r="271" ht="19.5" customHeight="1" x14ac:dyDescent="0.2"/>
    <row r="272" ht="19.5" customHeight="1" x14ac:dyDescent="0.2"/>
    <row r="273" ht="19.5" customHeight="1" x14ac:dyDescent="0.2"/>
    <row r="274" ht="19.5" customHeight="1" x14ac:dyDescent="0.2"/>
    <row r="275" ht="19.5" customHeight="1" x14ac:dyDescent="0.2"/>
    <row r="276" ht="19.5" customHeight="1" x14ac:dyDescent="0.2"/>
    <row r="277" ht="19.5" customHeight="1" x14ac:dyDescent="0.2"/>
    <row r="278" ht="19.5" customHeight="1" x14ac:dyDescent="0.2"/>
    <row r="279" ht="19.5" customHeight="1" x14ac:dyDescent="0.2"/>
    <row r="280" ht="19.5" customHeight="1" x14ac:dyDescent="0.2"/>
    <row r="281" ht="19.5" customHeight="1" x14ac:dyDescent="0.2"/>
    <row r="282" ht="19.5" customHeight="1" x14ac:dyDescent="0.2"/>
    <row r="283" ht="19.5" customHeight="1" x14ac:dyDescent="0.2"/>
    <row r="284" ht="19.5" customHeight="1" x14ac:dyDescent="0.2"/>
    <row r="285" ht="19.5" customHeight="1" x14ac:dyDescent="0.2"/>
    <row r="286" ht="19.5" customHeight="1" x14ac:dyDescent="0.2"/>
    <row r="287" ht="19.5" customHeight="1" x14ac:dyDescent="0.2"/>
    <row r="288" ht="19.5" customHeight="1" x14ac:dyDescent="0.2"/>
    <row r="289" ht="19.5" customHeight="1" x14ac:dyDescent="0.2"/>
    <row r="290" ht="19.5" customHeight="1" x14ac:dyDescent="0.2"/>
    <row r="291" ht="19.5" customHeight="1" x14ac:dyDescent="0.2"/>
    <row r="292" ht="19.5" customHeight="1" x14ac:dyDescent="0.2"/>
    <row r="293" ht="19.5" customHeight="1" x14ac:dyDescent="0.2"/>
    <row r="294" ht="19.5" customHeight="1" x14ac:dyDescent="0.2"/>
    <row r="295" ht="19.5" customHeight="1" x14ac:dyDescent="0.2"/>
    <row r="296" ht="19.5" customHeight="1" x14ac:dyDescent="0.2"/>
    <row r="297" ht="19.5" customHeight="1" x14ac:dyDescent="0.2"/>
    <row r="298" ht="19.5" customHeight="1" x14ac:dyDescent="0.2"/>
    <row r="299" ht="19.5" customHeight="1" x14ac:dyDescent="0.2"/>
    <row r="300" ht="19.5" customHeight="1" x14ac:dyDescent="0.2"/>
    <row r="301" ht="19.5" customHeight="1" x14ac:dyDescent="0.2"/>
    <row r="302" ht="19.5" customHeight="1" x14ac:dyDescent="0.2"/>
    <row r="303" ht="19.5" customHeight="1" x14ac:dyDescent="0.2"/>
    <row r="304" ht="19.5" customHeight="1" x14ac:dyDescent="0.2"/>
    <row r="305" ht="19.5" customHeight="1" x14ac:dyDescent="0.2"/>
    <row r="306" ht="19.5" customHeight="1" x14ac:dyDescent="0.2"/>
    <row r="307" ht="19.5" customHeight="1" x14ac:dyDescent="0.2"/>
    <row r="308" ht="19.5" customHeight="1" x14ac:dyDescent="0.2"/>
    <row r="309" ht="19.5" customHeight="1" x14ac:dyDescent="0.2"/>
    <row r="310" ht="19.5" customHeight="1" x14ac:dyDescent="0.2"/>
    <row r="311" ht="19.5" customHeight="1" x14ac:dyDescent="0.2"/>
    <row r="312" ht="19.5" customHeight="1" x14ac:dyDescent="0.2"/>
    <row r="313" ht="19.5" customHeight="1" x14ac:dyDescent="0.2"/>
    <row r="314" ht="19.5" customHeight="1" x14ac:dyDescent="0.2"/>
    <row r="315" ht="19.5" customHeight="1" x14ac:dyDescent="0.2"/>
    <row r="316" ht="19.5" customHeight="1" x14ac:dyDescent="0.2"/>
    <row r="317" ht="19.5" customHeight="1" x14ac:dyDescent="0.2"/>
    <row r="318" ht="19.5" customHeight="1" x14ac:dyDescent="0.2"/>
    <row r="319" ht="19.5" customHeight="1" x14ac:dyDescent="0.2"/>
    <row r="320" ht="19.5" customHeight="1" x14ac:dyDescent="0.2"/>
    <row r="321" ht="19.5" customHeight="1" x14ac:dyDescent="0.2"/>
    <row r="322" ht="19.5" customHeight="1" x14ac:dyDescent="0.2"/>
    <row r="323" ht="19.5" customHeight="1" x14ac:dyDescent="0.2"/>
    <row r="324" ht="19.5" customHeight="1" x14ac:dyDescent="0.2"/>
    <row r="325" ht="19.5" customHeight="1" x14ac:dyDescent="0.2"/>
    <row r="326" ht="19.5" customHeight="1" x14ac:dyDescent="0.2"/>
    <row r="327" ht="19.5" customHeight="1" x14ac:dyDescent="0.2"/>
    <row r="328" ht="19.5" customHeight="1" x14ac:dyDescent="0.2"/>
    <row r="329" ht="19.5" customHeight="1" x14ac:dyDescent="0.2"/>
    <row r="330" ht="19.5" customHeight="1" x14ac:dyDescent="0.2"/>
    <row r="331" ht="19.5" customHeight="1" x14ac:dyDescent="0.2"/>
    <row r="332" ht="19.5" customHeight="1" x14ac:dyDescent="0.2"/>
    <row r="333" ht="19.5" customHeight="1" x14ac:dyDescent="0.2"/>
    <row r="334" ht="19.5" customHeight="1" x14ac:dyDescent="0.2"/>
    <row r="335" ht="19.5" customHeight="1" x14ac:dyDescent="0.2"/>
    <row r="336" ht="19.5" customHeight="1" x14ac:dyDescent="0.2"/>
    <row r="337" ht="19.5" customHeight="1" x14ac:dyDescent="0.2"/>
    <row r="338" ht="19.5" customHeight="1" x14ac:dyDescent="0.2"/>
    <row r="339" ht="19.5" customHeight="1" x14ac:dyDescent="0.2"/>
    <row r="340" ht="19.5" customHeight="1" x14ac:dyDescent="0.2"/>
    <row r="341" ht="19.5" customHeight="1" x14ac:dyDescent="0.2"/>
    <row r="342" ht="19.5" customHeight="1" x14ac:dyDescent="0.2"/>
    <row r="343" ht="19.5" customHeight="1" x14ac:dyDescent="0.2"/>
    <row r="344" ht="19.5" customHeight="1" x14ac:dyDescent="0.2"/>
    <row r="345" ht="19.5" customHeight="1" x14ac:dyDescent="0.2"/>
    <row r="346" ht="19.5" customHeight="1" x14ac:dyDescent="0.2"/>
    <row r="347" ht="19.5" customHeight="1" x14ac:dyDescent="0.2"/>
    <row r="348" ht="19.5" customHeight="1" x14ac:dyDescent="0.2"/>
    <row r="349" ht="19.5" customHeight="1" x14ac:dyDescent="0.2"/>
    <row r="350" ht="19.5" customHeight="1" x14ac:dyDescent="0.2"/>
    <row r="351" ht="19.5" customHeight="1" x14ac:dyDescent="0.2"/>
    <row r="352" ht="19.5" customHeight="1" x14ac:dyDescent="0.2"/>
    <row r="353" ht="19.5" customHeight="1" x14ac:dyDescent="0.2"/>
    <row r="354" ht="19.5" customHeight="1" x14ac:dyDescent="0.2"/>
    <row r="355" ht="19.5" customHeight="1" x14ac:dyDescent="0.2"/>
    <row r="356" ht="19.5" customHeight="1" x14ac:dyDescent="0.2"/>
    <row r="357" ht="19.5" customHeight="1" x14ac:dyDescent="0.2"/>
    <row r="358" ht="19.5" customHeight="1" x14ac:dyDescent="0.2"/>
    <row r="359" ht="19.5" customHeight="1" x14ac:dyDescent="0.2"/>
    <row r="360" ht="19.5" customHeight="1" x14ac:dyDescent="0.2"/>
    <row r="361" ht="19.5" customHeight="1" x14ac:dyDescent="0.2"/>
    <row r="362" ht="19.5" customHeight="1" x14ac:dyDescent="0.2"/>
    <row r="363" ht="19.5" customHeight="1" x14ac:dyDescent="0.2"/>
    <row r="364" ht="19.5" customHeight="1" x14ac:dyDescent="0.2"/>
    <row r="365" ht="19.5" customHeight="1" x14ac:dyDescent="0.2"/>
    <row r="366" ht="19.5" customHeight="1" x14ac:dyDescent="0.2"/>
    <row r="367" ht="19.5" customHeight="1" x14ac:dyDescent="0.2"/>
    <row r="368" ht="19.5" customHeight="1" x14ac:dyDescent="0.2"/>
    <row r="369" ht="19.5" customHeight="1" x14ac:dyDescent="0.2"/>
    <row r="370" ht="19.5" customHeight="1" x14ac:dyDescent="0.2"/>
    <row r="371" ht="19.5" customHeight="1" x14ac:dyDescent="0.2"/>
    <row r="372" ht="19.5" customHeight="1" x14ac:dyDescent="0.2"/>
    <row r="373" ht="19.5" customHeight="1" x14ac:dyDescent="0.2"/>
    <row r="374" ht="19.5" customHeight="1" x14ac:dyDescent="0.2"/>
    <row r="375" ht="19.5" customHeight="1" x14ac:dyDescent="0.2"/>
    <row r="376" ht="19.5" customHeight="1" x14ac:dyDescent="0.2"/>
    <row r="377" ht="19.5" customHeight="1" x14ac:dyDescent="0.2"/>
    <row r="378" ht="19.5" customHeight="1" x14ac:dyDescent="0.2"/>
    <row r="379" ht="19.5" customHeight="1" x14ac:dyDescent="0.2"/>
    <row r="380" ht="19.5" customHeight="1" x14ac:dyDescent="0.2"/>
    <row r="381" ht="19.5" customHeight="1" x14ac:dyDescent="0.2"/>
    <row r="382" ht="19.5" customHeight="1" x14ac:dyDescent="0.2"/>
    <row r="383" ht="19.5" customHeight="1" x14ac:dyDescent="0.2"/>
    <row r="384" ht="19.5" customHeight="1" x14ac:dyDescent="0.2"/>
    <row r="385" ht="19.5" customHeight="1" x14ac:dyDescent="0.2"/>
    <row r="386" ht="19.5" customHeight="1" x14ac:dyDescent="0.2"/>
    <row r="387" ht="19.5" customHeight="1" x14ac:dyDescent="0.2"/>
    <row r="388" ht="19.5" customHeight="1" x14ac:dyDescent="0.2"/>
    <row r="389" ht="19.5" customHeight="1" x14ac:dyDescent="0.2"/>
    <row r="390" ht="19.5" customHeight="1" x14ac:dyDescent="0.2"/>
    <row r="391" ht="19.5" customHeight="1" x14ac:dyDescent="0.2"/>
    <row r="392" ht="19.5" customHeight="1" x14ac:dyDescent="0.2"/>
    <row r="393" ht="19.5" customHeight="1" x14ac:dyDescent="0.2"/>
    <row r="394" ht="19.5" customHeight="1" x14ac:dyDescent="0.2"/>
    <row r="395" ht="19.5" customHeight="1" x14ac:dyDescent="0.2"/>
    <row r="396" ht="19.5" customHeight="1" x14ac:dyDescent="0.2"/>
    <row r="397" ht="19.5" customHeight="1" x14ac:dyDescent="0.2"/>
    <row r="398" ht="19.5" customHeight="1" x14ac:dyDescent="0.2"/>
    <row r="399" ht="19.5" customHeight="1" x14ac:dyDescent="0.2"/>
    <row r="400" ht="19.5" customHeight="1" x14ac:dyDescent="0.2"/>
    <row r="401" ht="19.5" customHeight="1" x14ac:dyDescent="0.2"/>
    <row r="402" ht="19.5" customHeight="1" x14ac:dyDescent="0.2"/>
    <row r="403" ht="19.5" customHeight="1" x14ac:dyDescent="0.2"/>
    <row r="404" ht="19.5" customHeight="1" x14ac:dyDescent="0.2"/>
    <row r="405" ht="19.5" customHeight="1" x14ac:dyDescent="0.2"/>
    <row r="406" ht="19.5" customHeight="1" x14ac:dyDescent="0.2"/>
    <row r="407" ht="19.5" customHeight="1" x14ac:dyDescent="0.2"/>
    <row r="408" ht="19.5" customHeight="1" x14ac:dyDescent="0.2"/>
    <row r="409" ht="19.5" customHeight="1" x14ac:dyDescent="0.2"/>
    <row r="410" ht="19.5" customHeight="1" x14ac:dyDescent="0.2"/>
    <row r="411" ht="19.5" customHeight="1" x14ac:dyDescent="0.2"/>
    <row r="412" ht="19.5" customHeight="1" x14ac:dyDescent="0.2"/>
    <row r="413" ht="19.5" customHeight="1" x14ac:dyDescent="0.2"/>
    <row r="414" ht="19.5" customHeight="1" x14ac:dyDescent="0.2"/>
    <row r="415" ht="19.5" customHeight="1" x14ac:dyDescent="0.2"/>
    <row r="416" ht="19.5" customHeight="1" x14ac:dyDescent="0.2"/>
    <row r="417" ht="19.5" customHeight="1" x14ac:dyDescent="0.2"/>
    <row r="418" ht="19.5" customHeight="1" x14ac:dyDescent="0.2"/>
    <row r="419" ht="19.5" customHeight="1" x14ac:dyDescent="0.2"/>
    <row r="420" ht="19.5" customHeight="1" x14ac:dyDescent="0.2"/>
    <row r="421" ht="19.5" customHeight="1" x14ac:dyDescent="0.2"/>
    <row r="422" ht="19.5" customHeight="1" x14ac:dyDescent="0.2"/>
    <row r="423" ht="19.5" customHeight="1" x14ac:dyDescent="0.2"/>
    <row r="424" ht="19.5" customHeight="1" x14ac:dyDescent="0.2"/>
    <row r="425" ht="19.5" customHeight="1" x14ac:dyDescent="0.2"/>
    <row r="426" ht="19.5" customHeight="1" x14ac:dyDescent="0.2"/>
    <row r="427" ht="19.5" customHeight="1" x14ac:dyDescent="0.2"/>
    <row r="428" ht="19.5" customHeight="1" x14ac:dyDescent="0.2"/>
    <row r="429" ht="19.5" customHeight="1" x14ac:dyDescent="0.2"/>
    <row r="430" ht="19.5" customHeight="1" x14ac:dyDescent="0.2"/>
    <row r="431" ht="19.5" customHeight="1" x14ac:dyDescent="0.2"/>
    <row r="432" ht="19.5" customHeight="1" x14ac:dyDescent="0.2"/>
    <row r="433" ht="19.5" customHeight="1" x14ac:dyDescent="0.2"/>
    <row r="434" ht="19.5" customHeight="1" x14ac:dyDescent="0.2"/>
    <row r="435" ht="19.5" customHeight="1" x14ac:dyDescent="0.2"/>
    <row r="436" ht="19.5" customHeight="1" x14ac:dyDescent="0.2"/>
    <row r="437" ht="19.5" customHeight="1" x14ac:dyDescent="0.2"/>
    <row r="438" ht="19.5" customHeight="1" x14ac:dyDescent="0.2"/>
    <row r="439" ht="19.5" customHeight="1" x14ac:dyDescent="0.2"/>
    <row r="440" ht="19.5" customHeight="1" x14ac:dyDescent="0.2"/>
    <row r="441" ht="19.5" customHeight="1" x14ac:dyDescent="0.2"/>
    <row r="442" ht="19.5" customHeight="1" x14ac:dyDescent="0.2"/>
    <row r="443" ht="19.5" customHeight="1" x14ac:dyDescent="0.2"/>
    <row r="444" ht="19.5" customHeight="1" x14ac:dyDescent="0.2"/>
    <row r="445" ht="19.5" customHeight="1" x14ac:dyDescent="0.2"/>
    <row r="446" ht="19.5" customHeight="1" x14ac:dyDescent="0.2"/>
    <row r="447" ht="19.5" customHeight="1" x14ac:dyDescent="0.2"/>
    <row r="448" ht="19.5" customHeight="1" x14ac:dyDescent="0.2"/>
    <row r="449" ht="19.5" customHeight="1" x14ac:dyDescent="0.2"/>
    <row r="450" ht="19.5" customHeight="1" x14ac:dyDescent="0.2"/>
    <row r="451" ht="19.5" customHeight="1" x14ac:dyDescent="0.2"/>
    <row r="452" ht="19.5" customHeight="1" x14ac:dyDescent="0.2"/>
    <row r="453" ht="19.5" customHeight="1" x14ac:dyDescent="0.2"/>
    <row r="454" ht="19.5" customHeight="1" x14ac:dyDescent="0.2"/>
    <row r="455" ht="19.5" customHeight="1" x14ac:dyDescent="0.2"/>
    <row r="456" ht="19.5" customHeight="1" x14ac:dyDescent="0.2"/>
    <row r="457" ht="19.5" customHeight="1" x14ac:dyDescent="0.2"/>
    <row r="458" ht="19.5" customHeight="1" x14ac:dyDescent="0.2"/>
    <row r="459" ht="19.5" customHeight="1" x14ac:dyDescent="0.2"/>
    <row r="460" ht="19.5" customHeight="1" x14ac:dyDescent="0.2"/>
    <row r="461" ht="19.5" customHeight="1" x14ac:dyDescent="0.2"/>
    <row r="462" ht="19.5" customHeight="1" x14ac:dyDescent="0.2"/>
    <row r="463" ht="19.5" customHeight="1" x14ac:dyDescent="0.2"/>
    <row r="464" ht="19.5" customHeight="1" x14ac:dyDescent="0.2"/>
    <row r="465" ht="19.5" customHeight="1" x14ac:dyDescent="0.2"/>
    <row r="466" ht="19.5" customHeight="1" x14ac:dyDescent="0.2"/>
    <row r="467" ht="19.5" customHeight="1" x14ac:dyDescent="0.2"/>
    <row r="468" ht="19.5" customHeight="1" x14ac:dyDescent="0.2"/>
    <row r="469" ht="19.5" customHeight="1" x14ac:dyDescent="0.2"/>
    <row r="470" ht="19.5" customHeight="1" x14ac:dyDescent="0.2"/>
    <row r="471" ht="19.5" customHeight="1" x14ac:dyDescent="0.2"/>
    <row r="472" ht="19.5" customHeight="1" x14ac:dyDescent="0.2"/>
    <row r="473" ht="19.5" customHeight="1" x14ac:dyDescent="0.2"/>
    <row r="474" ht="19.5" customHeight="1" x14ac:dyDescent="0.2"/>
    <row r="475" ht="19.5" customHeight="1" x14ac:dyDescent="0.2"/>
    <row r="476" ht="19.5" customHeight="1" x14ac:dyDescent="0.2"/>
    <row r="477" ht="19.5" customHeight="1" x14ac:dyDescent="0.2"/>
    <row r="478" ht="19.5" customHeight="1" x14ac:dyDescent="0.2"/>
    <row r="479" ht="19.5" customHeight="1" x14ac:dyDescent="0.2"/>
    <row r="480" ht="19.5" customHeight="1" x14ac:dyDescent="0.2"/>
    <row r="481" ht="19.5" customHeight="1" x14ac:dyDescent="0.2"/>
    <row r="482" ht="19.5" customHeight="1" x14ac:dyDescent="0.2"/>
    <row r="483" ht="19.5" customHeight="1" x14ac:dyDescent="0.2"/>
    <row r="484" ht="19.5" customHeight="1" x14ac:dyDescent="0.2"/>
    <row r="485" ht="19.5" customHeight="1" x14ac:dyDescent="0.2"/>
    <row r="486" ht="19.5" customHeight="1" x14ac:dyDescent="0.2"/>
    <row r="487" ht="19.5" customHeight="1" x14ac:dyDescent="0.2"/>
    <row r="488" ht="19.5" customHeight="1" x14ac:dyDescent="0.2"/>
    <row r="489" ht="19.5" customHeight="1" x14ac:dyDescent="0.2"/>
    <row r="490" ht="19.5" customHeight="1" x14ac:dyDescent="0.2"/>
    <row r="491" ht="19.5" customHeight="1" x14ac:dyDescent="0.2"/>
    <row r="492" ht="19.5" customHeight="1" x14ac:dyDescent="0.2"/>
    <row r="493" ht="19.5" customHeight="1" x14ac:dyDescent="0.2"/>
    <row r="494" ht="19.5" customHeight="1" x14ac:dyDescent="0.2"/>
    <row r="495" ht="19.5" customHeight="1" x14ac:dyDescent="0.2"/>
    <row r="496" ht="19.5" customHeight="1" x14ac:dyDescent="0.2"/>
    <row r="497" ht="19.5" customHeight="1" x14ac:dyDescent="0.2"/>
    <row r="498" ht="19.5" customHeight="1" x14ac:dyDescent="0.2"/>
    <row r="499" ht="19.5" customHeight="1" x14ac:dyDescent="0.2"/>
    <row r="500" ht="19.5" customHeight="1" x14ac:dyDescent="0.2"/>
    <row r="501" ht="19.5" customHeight="1" x14ac:dyDescent="0.2"/>
    <row r="502" ht="19.5" customHeight="1" x14ac:dyDescent="0.2"/>
    <row r="503" ht="19.5" customHeight="1" x14ac:dyDescent="0.2"/>
    <row r="504" ht="19.5" customHeight="1" x14ac:dyDescent="0.2"/>
    <row r="505" ht="19.5" customHeight="1" x14ac:dyDescent="0.2"/>
    <row r="506" ht="19.5" customHeight="1" x14ac:dyDescent="0.2"/>
    <row r="507" ht="19.5" customHeight="1" x14ac:dyDescent="0.2"/>
    <row r="508" ht="19.5" customHeight="1" x14ac:dyDescent="0.2"/>
    <row r="509" ht="19.5" customHeight="1" x14ac:dyDescent="0.2"/>
    <row r="510" ht="19.5" customHeight="1" x14ac:dyDescent="0.2"/>
    <row r="511" ht="19.5" customHeight="1" x14ac:dyDescent="0.2"/>
    <row r="512" ht="19.5" customHeight="1" x14ac:dyDescent="0.2"/>
    <row r="513" ht="19.5" customHeight="1" x14ac:dyDescent="0.2"/>
    <row r="514" ht="19.5" customHeight="1" x14ac:dyDescent="0.2"/>
    <row r="515" ht="19.5" customHeight="1" x14ac:dyDescent="0.2"/>
    <row r="516" ht="19.5" customHeight="1" x14ac:dyDescent="0.2"/>
    <row r="517" ht="19.5" customHeight="1" x14ac:dyDescent="0.2"/>
    <row r="518" ht="19.5" customHeight="1" x14ac:dyDescent="0.2"/>
    <row r="519" ht="19.5" customHeight="1" x14ac:dyDescent="0.2"/>
    <row r="520" ht="19.5" customHeight="1" x14ac:dyDescent="0.2"/>
    <row r="521" ht="19.5" customHeight="1" x14ac:dyDescent="0.2"/>
    <row r="522" ht="19.5" customHeight="1" x14ac:dyDescent="0.2"/>
    <row r="523" ht="19.5" customHeight="1" x14ac:dyDescent="0.2"/>
    <row r="524" ht="19.5" customHeight="1" x14ac:dyDescent="0.2"/>
    <row r="525" ht="19.5" customHeight="1" x14ac:dyDescent="0.2"/>
    <row r="526" ht="19.5" customHeight="1" x14ac:dyDescent="0.2"/>
    <row r="527" ht="19.5" customHeight="1" x14ac:dyDescent="0.2"/>
    <row r="528" ht="19.5" customHeight="1" x14ac:dyDescent="0.2"/>
    <row r="529" ht="19.5" customHeight="1" x14ac:dyDescent="0.2"/>
    <row r="530" ht="19.5" customHeight="1" x14ac:dyDescent="0.2"/>
    <row r="531" ht="19.5" customHeight="1" x14ac:dyDescent="0.2"/>
    <row r="532" ht="19.5" customHeight="1" x14ac:dyDescent="0.2"/>
    <row r="533" ht="19.5" customHeight="1" x14ac:dyDescent="0.2"/>
    <row r="534" ht="19.5" customHeight="1" x14ac:dyDescent="0.2"/>
    <row r="535" ht="19.5" customHeight="1" x14ac:dyDescent="0.2"/>
    <row r="536" ht="19.5" customHeight="1" x14ac:dyDescent="0.2"/>
    <row r="537" ht="19.5" customHeight="1" x14ac:dyDescent="0.2"/>
    <row r="538" ht="19.5" customHeight="1" x14ac:dyDescent="0.2"/>
    <row r="539" ht="19.5" customHeight="1" x14ac:dyDescent="0.2"/>
    <row r="540" ht="19.5" customHeight="1" x14ac:dyDescent="0.2"/>
    <row r="541" ht="19.5" customHeight="1" x14ac:dyDescent="0.2"/>
    <row r="542" ht="19.5" customHeight="1" x14ac:dyDescent="0.2"/>
    <row r="543" ht="19.5" customHeight="1" x14ac:dyDescent="0.2"/>
    <row r="544" ht="19.5" customHeight="1" x14ac:dyDescent="0.2"/>
    <row r="545" ht="19.5" customHeight="1" x14ac:dyDescent="0.2"/>
    <row r="546" ht="19.5" customHeight="1" x14ac:dyDescent="0.2"/>
    <row r="547" ht="19.5" customHeight="1" x14ac:dyDescent="0.2"/>
    <row r="548" ht="19.5" customHeight="1" x14ac:dyDescent="0.2"/>
    <row r="549" ht="19.5" customHeight="1" x14ac:dyDescent="0.2"/>
    <row r="550" ht="19.5" customHeight="1" x14ac:dyDescent="0.2"/>
    <row r="551" ht="19.5" customHeight="1" x14ac:dyDescent="0.2"/>
    <row r="552" ht="19.5" customHeight="1" x14ac:dyDescent="0.2"/>
    <row r="553" ht="19.5" customHeight="1" x14ac:dyDescent="0.2"/>
    <row r="554" ht="19.5" customHeight="1" x14ac:dyDescent="0.2"/>
    <row r="555" ht="19.5" customHeight="1" x14ac:dyDescent="0.2"/>
    <row r="556" ht="19.5" customHeight="1" x14ac:dyDescent="0.2"/>
    <row r="557" ht="19.5" customHeight="1" x14ac:dyDescent="0.2"/>
    <row r="558" ht="19.5" customHeight="1" x14ac:dyDescent="0.2"/>
    <row r="559" ht="19.5" customHeight="1" x14ac:dyDescent="0.2"/>
    <row r="560" ht="19.5" customHeight="1" x14ac:dyDescent="0.2"/>
    <row r="561" ht="19.5" customHeight="1" x14ac:dyDescent="0.2"/>
    <row r="562" ht="19.5" customHeight="1" x14ac:dyDescent="0.2"/>
    <row r="563" ht="19.5" customHeight="1" x14ac:dyDescent="0.2"/>
    <row r="564" ht="19.5" customHeight="1" x14ac:dyDescent="0.2"/>
    <row r="565" ht="19.5" customHeight="1" x14ac:dyDescent="0.2"/>
    <row r="566" ht="19.5" customHeight="1" x14ac:dyDescent="0.2"/>
    <row r="567" ht="19.5" customHeight="1" x14ac:dyDescent="0.2"/>
    <row r="568" ht="19.5" customHeight="1" x14ac:dyDescent="0.2"/>
    <row r="569" ht="19.5" customHeight="1" x14ac:dyDescent="0.2"/>
    <row r="570" ht="19.5" customHeight="1" x14ac:dyDescent="0.2"/>
    <row r="571" ht="19.5" customHeight="1" x14ac:dyDescent="0.2"/>
    <row r="572" ht="19.5" customHeight="1" x14ac:dyDescent="0.2"/>
    <row r="573" ht="19.5" customHeight="1" x14ac:dyDescent="0.2"/>
    <row r="574" ht="19.5" customHeight="1" x14ac:dyDescent="0.2"/>
    <row r="575" ht="19.5" customHeight="1" x14ac:dyDescent="0.2"/>
    <row r="576" ht="19.5" customHeight="1" x14ac:dyDescent="0.2"/>
    <row r="577" ht="19.5" customHeight="1" x14ac:dyDescent="0.2"/>
    <row r="578" ht="19.5" customHeight="1" x14ac:dyDescent="0.2"/>
    <row r="579" ht="19.5" customHeight="1" x14ac:dyDescent="0.2"/>
    <row r="580" ht="19.5" customHeight="1" x14ac:dyDescent="0.2"/>
    <row r="581" ht="19.5" customHeight="1" x14ac:dyDescent="0.2"/>
    <row r="582" ht="19.5" customHeight="1" x14ac:dyDescent="0.2"/>
    <row r="583" ht="19.5" customHeight="1" x14ac:dyDescent="0.2"/>
    <row r="584" ht="19.5" customHeight="1" x14ac:dyDescent="0.2"/>
    <row r="585" ht="19.5" customHeight="1" x14ac:dyDescent="0.2"/>
    <row r="586" ht="19.5" customHeight="1" x14ac:dyDescent="0.2"/>
    <row r="587" ht="19.5" customHeight="1" x14ac:dyDescent="0.2"/>
    <row r="588" ht="19.5" customHeight="1" x14ac:dyDescent="0.2"/>
    <row r="589" ht="19.5" customHeight="1" x14ac:dyDescent="0.2"/>
    <row r="590" ht="19.5" customHeight="1" x14ac:dyDescent="0.2"/>
    <row r="591" ht="19.5" customHeight="1" x14ac:dyDescent="0.2"/>
    <row r="592" ht="19.5" customHeight="1" x14ac:dyDescent="0.2"/>
    <row r="593" ht="19.5" customHeight="1" x14ac:dyDescent="0.2"/>
    <row r="594" ht="19.5" customHeight="1" x14ac:dyDescent="0.2"/>
    <row r="595" ht="19.5" customHeight="1" x14ac:dyDescent="0.2"/>
    <row r="596" ht="19.5" customHeight="1" x14ac:dyDescent="0.2"/>
    <row r="597" ht="19.5" customHeight="1" x14ac:dyDescent="0.2"/>
    <row r="598" ht="19.5" customHeight="1" x14ac:dyDescent="0.2"/>
    <row r="599" ht="19.5" customHeight="1" x14ac:dyDescent="0.2"/>
    <row r="600" ht="19.5" customHeight="1" x14ac:dyDescent="0.2"/>
    <row r="601" ht="19.5" customHeight="1" x14ac:dyDescent="0.2"/>
    <row r="602" ht="19.5" customHeight="1" x14ac:dyDescent="0.2"/>
    <row r="603" ht="19.5" customHeight="1" x14ac:dyDescent="0.2"/>
    <row r="604" ht="19.5" customHeight="1" x14ac:dyDescent="0.2"/>
    <row r="605" ht="19.5" customHeight="1" x14ac:dyDescent="0.2"/>
    <row r="606" ht="19.5" customHeight="1" x14ac:dyDescent="0.2"/>
    <row r="607" ht="19.5" customHeight="1" x14ac:dyDescent="0.2"/>
    <row r="608" ht="19.5" customHeight="1" x14ac:dyDescent="0.2"/>
    <row r="609" ht="19.5" customHeight="1" x14ac:dyDescent="0.2"/>
    <row r="610" ht="19.5" customHeight="1" x14ac:dyDescent="0.2"/>
    <row r="611" ht="19.5" customHeight="1" x14ac:dyDescent="0.2"/>
    <row r="612" ht="19.5" customHeight="1" x14ac:dyDescent="0.2"/>
    <row r="613" ht="19.5" customHeight="1" x14ac:dyDescent="0.2"/>
    <row r="614" ht="19.5" customHeight="1" x14ac:dyDescent="0.2"/>
    <row r="615" ht="19.5" customHeight="1" x14ac:dyDescent="0.2"/>
    <row r="616" ht="19.5" customHeight="1" x14ac:dyDescent="0.2"/>
    <row r="617" ht="19.5" customHeight="1" x14ac:dyDescent="0.2"/>
    <row r="618" ht="19.5" customHeight="1" x14ac:dyDescent="0.2"/>
    <row r="619" ht="19.5" customHeight="1" x14ac:dyDescent="0.2"/>
    <row r="620" ht="19.5" customHeight="1" x14ac:dyDescent="0.2"/>
    <row r="621" ht="19.5" customHeight="1" x14ac:dyDescent="0.2"/>
    <row r="622" ht="19.5" customHeight="1" x14ac:dyDescent="0.2"/>
    <row r="623" ht="19.5" customHeight="1" x14ac:dyDescent="0.2"/>
    <row r="624" ht="19.5" customHeight="1" x14ac:dyDescent="0.2"/>
    <row r="625" ht="19.5" customHeight="1" x14ac:dyDescent="0.2"/>
    <row r="626" ht="19.5" customHeight="1" x14ac:dyDescent="0.2"/>
    <row r="627" ht="19.5" customHeight="1" x14ac:dyDescent="0.2"/>
    <row r="628" ht="19.5" customHeight="1" x14ac:dyDescent="0.2"/>
    <row r="629" ht="19.5" customHeight="1" x14ac:dyDescent="0.2"/>
    <row r="630" ht="19.5" customHeight="1" x14ac:dyDescent="0.2"/>
    <row r="631" ht="19.5" customHeight="1" x14ac:dyDescent="0.2"/>
    <row r="632" ht="19.5" customHeight="1" x14ac:dyDescent="0.2"/>
    <row r="633" ht="19.5" customHeight="1" x14ac:dyDescent="0.2"/>
    <row r="634" ht="19.5" customHeight="1" x14ac:dyDescent="0.2"/>
    <row r="635" ht="19.5" customHeight="1" x14ac:dyDescent="0.2"/>
    <row r="636" ht="19.5" customHeight="1" x14ac:dyDescent="0.2"/>
    <row r="637" ht="19.5" customHeight="1" x14ac:dyDescent="0.2"/>
    <row r="638" ht="19.5" customHeight="1" x14ac:dyDescent="0.2"/>
    <row r="639" ht="19.5" customHeight="1" x14ac:dyDescent="0.2"/>
    <row r="640" ht="19.5" customHeight="1" x14ac:dyDescent="0.2"/>
    <row r="641" ht="19.5" customHeight="1" x14ac:dyDescent="0.2"/>
    <row r="642" ht="19.5" customHeight="1" x14ac:dyDescent="0.2"/>
    <row r="643" ht="19.5" customHeight="1" x14ac:dyDescent="0.2"/>
    <row r="644" ht="19.5" customHeight="1" x14ac:dyDescent="0.2"/>
    <row r="645" ht="19.5" customHeight="1" x14ac:dyDescent="0.2"/>
    <row r="646" ht="19.5" customHeight="1" x14ac:dyDescent="0.2"/>
    <row r="647" ht="19.5" customHeight="1" x14ac:dyDescent="0.2"/>
    <row r="648" ht="19.5" customHeight="1" x14ac:dyDescent="0.2"/>
    <row r="649" ht="19.5" customHeight="1" x14ac:dyDescent="0.2"/>
    <row r="650" ht="19.5" customHeight="1" x14ac:dyDescent="0.2"/>
    <row r="651" ht="19.5" customHeight="1" x14ac:dyDescent="0.2"/>
    <row r="652" ht="19.5" customHeight="1" x14ac:dyDescent="0.2"/>
    <row r="653" ht="19.5" customHeight="1" x14ac:dyDescent="0.2"/>
    <row r="654" ht="19.5" customHeight="1" x14ac:dyDescent="0.2"/>
    <row r="655" ht="19.5" customHeight="1" x14ac:dyDescent="0.2"/>
    <row r="656" ht="19.5" customHeight="1" x14ac:dyDescent="0.2"/>
    <row r="657" ht="19.5" customHeight="1" x14ac:dyDescent="0.2"/>
    <row r="658" ht="19.5" customHeight="1" x14ac:dyDescent="0.2"/>
    <row r="659" ht="19.5" customHeight="1" x14ac:dyDescent="0.2"/>
    <row r="660" ht="19.5" customHeight="1" x14ac:dyDescent="0.2"/>
    <row r="661" ht="19.5" customHeight="1" x14ac:dyDescent="0.2"/>
    <row r="662" ht="19.5" customHeight="1" x14ac:dyDescent="0.2"/>
    <row r="663" ht="19.5" customHeight="1" x14ac:dyDescent="0.2"/>
    <row r="664" ht="19.5" customHeight="1" x14ac:dyDescent="0.2"/>
    <row r="665" ht="19.5" customHeight="1" x14ac:dyDescent="0.2"/>
    <row r="666" ht="19.5" customHeight="1" x14ac:dyDescent="0.2"/>
    <row r="667" ht="19.5" customHeight="1" x14ac:dyDescent="0.2"/>
    <row r="668" ht="19.5" customHeight="1" x14ac:dyDescent="0.2"/>
    <row r="669" ht="19.5" customHeight="1" x14ac:dyDescent="0.2"/>
    <row r="670" ht="19.5" customHeight="1" x14ac:dyDescent="0.2"/>
    <row r="671" ht="19.5" customHeight="1" x14ac:dyDescent="0.2"/>
    <row r="672" ht="19.5" customHeight="1" x14ac:dyDescent="0.2"/>
    <row r="673" ht="19.5" customHeight="1" x14ac:dyDescent="0.2"/>
    <row r="674" ht="19.5" customHeight="1" x14ac:dyDescent="0.2"/>
    <row r="675" ht="19.5" customHeight="1" x14ac:dyDescent="0.2"/>
    <row r="676" ht="19.5" customHeight="1" x14ac:dyDescent="0.2"/>
    <row r="677" ht="19.5" customHeight="1" x14ac:dyDescent="0.2"/>
    <row r="678" ht="19.5" customHeight="1" x14ac:dyDescent="0.2"/>
    <row r="679" ht="19.5" customHeight="1" x14ac:dyDescent="0.2"/>
    <row r="680" ht="19.5" customHeight="1" x14ac:dyDescent="0.2"/>
    <row r="681" ht="19.5" customHeight="1" x14ac:dyDescent="0.2"/>
    <row r="682" ht="19.5" customHeight="1" x14ac:dyDescent="0.2"/>
    <row r="683" ht="19.5" customHeight="1" x14ac:dyDescent="0.2"/>
    <row r="684" ht="19.5" customHeight="1" x14ac:dyDescent="0.2"/>
    <row r="685" ht="19.5" customHeight="1" x14ac:dyDescent="0.2"/>
    <row r="686" ht="19.5" customHeight="1" x14ac:dyDescent="0.2"/>
    <row r="687" ht="19.5" customHeight="1" x14ac:dyDescent="0.2"/>
    <row r="688" ht="19.5" customHeight="1" x14ac:dyDescent="0.2"/>
    <row r="689" ht="19.5" customHeight="1" x14ac:dyDescent="0.2"/>
    <row r="690" ht="19.5" customHeight="1" x14ac:dyDescent="0.2"/>
    <row r="691" ht="19.5" customHeight="1" x14ac:dyDescent="0.2"/>
    <row r="692" ht="19.5" customHeight="1" x14ac:dyDescent="0.2"/>
    <row r="693" ht="19.5" customHeight="1" x14ac:dyDescent="0.2"/>
    <row r="694" ht="19.5" customHeight="1" x14ac:dyDescent="0.2"/>
    <row r="695" ht="19.5" customHeight="1" x14ac:dyDescent="0.2"/>
    <row r="696" ht="19.5" customHeight="1" x14ac:dyDescent="0.2"/>
    <row r="697" ht="19.5" customHeight="1" x14ac:dyDescent="0.2"/>
    <row r="698" ht="19.5" customHeight="1" x14ac:dyDescent="0.2"/>
    <row r="699" ht="19.5" customHeight="1" x14ac:dyDescent="0.2"/>
    <row r="700" ht="19.5" customHeight="1" x14ac:dyDescent="0.2"/>
    <row r="701" ht="19.5" customHeight="1" x14ac:dyDescent="0.2"/>
    <row r="702" ht="19.5" customHeight="1" x14ac:dyDescent="0.2"/>
    <row r="703" ht="19.5" customHeight="1" x14ac:dyDescent="0.2"/>
    <row r="704" ht="19.5" customHeight="1" x14ac:dyDescent="0.2"/>
    <row r="705" ht="19.5" customHeight="1" x14ac:dyDescent="0.2"/>
    <row r="706" ht="19.5" customHeight="1" x14ac:dyDescent="0.2"/>
    <row r="707" ht="19.5" customHeight="1" x14ac:dyDescent="0.2"/>
    <row r="708" ht="19.5" customHeight="1" x14ac:dyDescent="0.2"/>
    <row r="709" ht="19.5" customHeight="1" x14ac:dyDescent="0.2"/>
    <row r="710" ht="19.5" customHeight="1" x14ac:dyDescent="0.2"/>
    <row r="711" ht="19.5" customHeight="1" x14ac:dyDescent="0.2"/>
    <row r="712" ht="19.5" customHeight="1" x14ac:dyDescent="0.2"/>
    <row r="713" ht="19.5" customHeight="1" x14ac:dyDescent="0.2"/>
    <row r="714" ht="19.5" customHeight="1" x14ac:dyDescent="0.2"/>
    <row r="715" ht="19.5" customHeight="1" x14ac:dyDescent="0.2"/>
    <row r="716" ht="19.5" customHeight="1" x14ac:dyDescent="0.2"/>
    <row r="717" ht="19.5" customHeight="1" x14ac:dyDescent="0.2"/>
    <row r="718" ht="19.5" customHeight="1" x14ac:dyDescent="0.2"/>
    <row r="719" ht="19.5" customHeight="1" x14ac:dyDescent="0.2"/>
    <row r="720" ht="19.5" customHeight="1" x14ac:dyDescent="0.2"/>
    <row r="721" ht="19.5" customHeight="1" x14ac:dyDescent="0.2"/>
    <row r="722" ht="19.5" customHeight="1" x14ac:dyDescent="0.2"/>
    <row r="723" ht="19.5" customHeight="1" x14ac:dyDescent="0.2"/>
    <row r="724" ht="19.5" customHeight="1" x14ac:dyDescent="0.2"/>
    <row r="725" ht="19.5" customHeight="1" x14ac:dyDescent="0.2"/>
    <row r="726" ht="19.5" customHeight="1" x14ac:dyDescent="0.2"/>
    <row r="727" ht="19.5" customHeight="1" x14ac:dyDescent="0.2"/>
    <row r="728" ht="19.5" customHeight="1" x14ac:dyDescent="0.2"/>
    <row r="729" ht="19.5" customHeight="1" x14ac:dyDescent="0.2"/>
    <row r="730" ht="19.5" customHeight="1" x14ac:dyDescent="0.2"/>
    <row r="731" ht="19.5" customHeight="1" x14ac:dyDescent="0.2"/>
    <row r="732" ht="19.5" customHeight="1" x14ac:dyDescent="0.2"/>
    <row r="733" ht="19.5" customHeight="1" x14ac:dyDescent="0.2"/>
    <row r="734" ht="19.5" customHeight="1" x14ac:dyDescent="0.2"/>
    <row r="735" ht="19.5" customHeight="1" x14ac:dyDescent="0.2"/>
    <row r="736" ht="19.5" customHeight="1" x14ac:dyDescent="0.2"/>
    <row r="737" ht="19.5" customHeight="1" x14ac:dyDescent="0.2"/>
    <row r="738" ht="19.5" customHeight="1" x14ac:dyDescent="0.2"/>
    <row r="739" ht="19.5" customHeight="1" x14ac:dyDescent="0.2"/>
    <row r="740" ht="19.5" customHeight="1" x14ac:dyDescent="0.2"/>
    <row r="741" ht="19.5" customHeight="1" x14ac:dyDescent="0.2"/>
    <row r="742" ht="19.5" customHeight="1" x14ac:dyDescent="0.2"/>
    <row r="743" ht="19.5" customHeight="1" x14ac:dyDescent="0.2"/>
    <row r="744" ht="19.5" customHeight="1" x14ac:dyDescent="0.2"/>
    <row r="745" ht="19.5" customHeight="1" x14ac:dyDescent="0.2"/>
    <row r="746" ht="19.5" customHeight="1" x14ac:dyDescent="0.2"/>
    <row r="747" ht="19.5" customHeight="1" x14ac:dyDescent="0.2"/>
    <row r="748" ht="19.5" customHeight="1" x14ac:dyDescent="0.2"/>
    <row r="749" ht="19.5" customHeight="1" x14ac:dyDescent="0.2"/>
    <row r="750" ht="19.5" customHeight="1" x14ac:dyDescent="0.2"/>
    <row r="751" ht="19.5" customHeight="1" x14ac:dyDescent="0.2"/>
    <row r="752" ht="19.5" customHeight="1" x14ac:dyDescent="0.2"/>
    <row r="753" ht="19.5" customHeight="1" x14ac:dyDescent="0.2"/>
    <row r="754" ht="19.5" customHeight="1" x14ac:dyDescent="0.2"/>
    <row r="755" ht="19.5" customHeight="1" x14ac:dyDescent="0.2"/>
    <row r="756" ht="19.5" customHeight="1" x14ac:dyDescent="0.2"/>
    <row r="757" ht="19.5" customHeight="1" x14ac:dyDescent="0.2"/>
    <row r="758" ht="19.5" customHeight="1" x14ac:dyDescent="0.2"/>
    <row r="759" ht="19.5" customHeight="1" x14ac:dyDescent="0.2"/>
    <row r="760" ht="19.5" customHeight="1" x14ac:dyDescent="0.2"/>
    <row r="761" ht="19.5" customHeight="1" x14ac:dyDescent="0.2"/>
    <row r="762" ht="19.5" customHeight="1" x14ac:dyDescent="0.2"/>
    <row r="763" ht="19.5" customHeight="1" x14ac:dyDescent="0.2"/>
    <row r="764" ht="19.5" customHeight="1" x14ac:dyDescent="0.2"/>
    <row r="765" ht="19.5" customHeight="1" x14ac:dyDescent="0.2"/>
    <row r="766" ht="19.5" customHeight="1" x14ac:dyDescent="0.2"/>
    <row r="767" ht="19.5" customHeight="1" x14ac:dyDescent="0.2"/>
    <row r="768" ht="19.5" customHeight="1" x14ac:dyDescent="0.2"/>
    <row r="769" ht="19.5" customHeight="1" x14ac:dyDescent="0.2"/>
    <row r="770" ht="19.5" customHeight="1" x14ac:dyDescent="0.2"/>
    <row r="771" ht="19.5" customHeight="1" x14ac:dyDescent="0.2"/>
    <row r="772" ht="19.5" customHeight="1" x14ac:dyDescent="0.2"/>
    <row r="773" ht="19.5" customHeight="1" x14ac:dyDescent="0.2"/>
    <row r="774" ht="19.5" customHeight="1" x14ac:dyDescent="0.2"/>
    <row r="775" ht="19.5" customHeight="1" x14ac:dyDescent="0.2"/>
    <row r="776" ht="19.5" customHeight="1" x14ac:dyDescent="0.2"/>
    <row r="777" ht="19.5" customHeight="1" x14ac:dyDescent="0.2"/>
    <row r="778" ht="19.5" customHeight="1" x14ac:dyDescent="0.2"/>
    <row r="779" ht="19.5" customHeight="1" x14ac:dyDescent="0.2"/>
    <row r="780" ht="19.5" customHeight="1" x14ac:dyDescent="0.2"/>
    <row r="781" ht="19.5" customHeight="1" x14ac:dyDescent="0.2"/>
    <row r="782" ht="19.5" customHeight="1" x14ac:dyDescent="0.2"/>
    <row r="783" ht="19.5" customHeight="1" x14ac:dyDescent="0.2"/>
    <row r="784" ht="19.5" customHeight="1" x14ac:dyDescent="0.2"/>
    <row r="785" ht="19.5" customHeight="1" x14ac:dyDescent="0.2"/>
    <row r="786" ht="19.5" customHeight="1" x14ac:dyDescent="0.2"/>
    <row r="787" ht="19.5" customHeight="1" x14ac:dyDescent="0.2"/>
    <row r="788" ht="19.5" customHeight="1" x14ac:dyDescent="0.2"/>
    <row r="789" ht="19.5" customHeight="1" x14ac:dyDescent="0.2"/>
    <row r="790" ht="19.5" customHeight="1" x14ac:dyDescent="0.2"/>
    <row r="791" ht="19.5" customHeight="1" x14ac:dyDescent="0.2"/>
    <row r="792" ht="19.5" customHeight="1" x14ac:dyDescent="0.2"/>
    <row r="793" ht="19.5" customHeight="1" x14ac:dyDescent="0.2"/>
    <row r="794" ht="19.5" customHeight="1" x14ac:dyDescent="0.2"/>
    <row r="795" ht="19.5" customHeight="1" x14ac:dyDescent="0.2"/>
    <row r="796" ht="19.5" customHeight="1" x14ac:dyDescent="0.2"/>
    <row r="797" ht="19.5" customHeight="1" x14ac:dyDescent="0.2"/>
    <row r="798" ht="19.5" customHeight="1" x14ac:dyDescent="0.2"/>
    <row r="799" ht="19.5" customHeight="1" x14ac:dyDescent="0.2"/>
    <row r="800" ht="19.5" customHeight="1" x14ac:dyDescent="0.2"/>
    <row r="801" ht="19.5" customHeight="1" x14ac:dyDescent="0.2"/>
    <row r="802" ht="19.5" customHeight="1" x14ac:dyDescent="0.2"/>
    <row r="803" ht="19.5" customHeight="1" x14ac:dyDescent="0.2"/>
    <row r="804" ht="19.5" customHeight="1" x14ac:dyDescent="0.2"/>
    <row r="805" ht="19.5" customHeight="1" x14ac:dyDescent="0.2"/>
    <row r="806" ht="19.5" customHeight="1" x14ac:dyDescent="0.2"/>
    <row r="807" ht="19.5" customHeight="1" x14ac:dyDescent="0.2"/>
    <row r="808" ht="19.5" customHeight="1" x14ac:dyDescent="0.2"/>
    <row r="809" ht="19.5" customHeight="1" x14ac:dyDescent="0.2"/>
    <row r="810" ht="19.5" customHeight="1" x14ac:dyDescent="0.2"/>
    <row r="811" ht="19.5" customHeight="1" x14ac:dyDescent="0.2"/>
    <row r="812" ht="19.5" customHeight="1" x14ac:dyDescent="0.2"/>
    <row r="813" ht="19.5" customHeight="1" x14ac:dyDescent="0.2"/>
    <row r="814" ht="19.5" customHeight="1" x14ac:dyDescent="0.2"/>
    <row r="815" ht="19.5" customHeight="1" x14ac:dyDescent="0.2"/>
    <row r="816" ht="19.5" customHeight="1" x14ac:dyDescent="0.2"/>
    <row r="817" ht="19.5" customHeight="1" x14ac:dyDescent="0.2"/>
    <row r="818" ht="19.5" customHeight="1" x14ac:dyDescent="0.2"/>
    <row r="819" ht="19.5" customHeight="1" x14ac:dyDescent="0.2"/>
    <row r="820" ht="19.5" customHeight="1" x14ac:dyDescent="0.2"/>
    <row r="821" ht="19.5" customHeight="1" x14ac:dyDescent="0.2"/>
    <row r="822" ht="19.5" customHeight="1" x14ac:dyDescent="0.2"/>
    <row r="823" ht="19.5" customHeight="1" x14ac:dyDescent="0.2"/>
    <row r="824" ht="19.5" customHeight="1" x14ac:dyDescent="0.2"/>
    <row r="825" ht="19.5" customHeight="1" x14ac:dyDescent="0.2"/>
    <row r="826" ht="19.5" customHeight="1" x14ac:dyDescent="0.2"/>
    <row r="827" ht="19.5" customHeight="1" x14ac:dyDescent="0.2"/>
    <row r="828" ht="19.5" customHeight="1" x14ac:dyDescent="0.2"/>
    <row r="829" ht="19.5" customHeight="1" x14ac:dyDescent="0.2"/>
    <row r="830" ht="19.5" customHeight="1" x14ac:dyDescent="0.2"/>
    <row r="831" ht="19.5" customHeight="1" x14ac:dyDescent="0.2"/>
    <row r="832" ht="19.5" customHeight="1" x14ac:dyDescent="0.2"/>
    <row r="833" ht="19.5" customHeight="1" x14ac:dyDescent="0.2"/>
    <row r="834" ht="19.5" customHeight="1" x14ac:dyDescent="0.2"/>
    <row r="835" ht="19.5" customHeight="1" x14ac:dyDescent="0.2"/>
    <row r="836" ht="19.5" customHeight="1" x14ac:dyDescent="0.2"/>
    <row r="837" ht="19.5" customHeight="1" x14ac:dyDescent="0.2"/>
    <row r="838" ht="19.5" customHeight="1" x14ac:dyDescent="0.2"/>
    <row r="839" ht="19.5" customHeight="1" x14ac:dyDescent="0.2"/>
    <row r="840" ht="19.5" customHeight="1" x14ac:dyDescent="0.2"/>
    <row r="841" ht="19.5" customHeight="1" x14ac:dyDescent="0.2"/>
    <row r="842" ht="19.5" customHeight="1" x14ac:dyDescent="0.2"/>
    <row r="843" ht="19.5" customHeight="1" x14ac:dyDescent="0.2"/>
    <row r="844" ht="19.5" customHeight="1" x14ac:dyDescent="0.2"/>
    <row r="845" ht="19.5" customHeight="1" x14ac:dyDescent="0.2"/>
    <row r="846" ht="19.5" customHeight="1" x14ac:dyDescent="0.2"/>
    <row r="847" ht="19.5" customHeight="1" x14ac:dyDescent="0.2"/>
    <row r="848" ht="19.5" customHeight="1" x14ac:dyDescent="0.2"/>
    <row r="849" ht="19.5" customHeight="1" x14ac:dyDescent="0.2"/>
    <row r="850" ht="19.5" customHeight="1" x14ac:dyDescent="0.2"/>
    <row r="851" ht="19.5" customHeight="1" x14ac:dyDescent="0.2"/>
    <row r="852" ht="19.5" customHeight="1" x14ac:dyDescent="0.2"/>
    <row r="853" ht="19.5" customHeight="1" x14ac:dyDescent="0.2"/>
    <row r="854" ht="19.5" customHeight="1" x14ac:dyDescent="0.2"/>
    <row r="855" ht="19.5" customHeight="1" x14ac:dyDescent="0.2"/>
    <row r="856" ht="19.5" customHeight="1" x14ac:dyDescent="0.2"/>
    <row r="857" ht="19.5" customHeight="1" x14ac:dyDescent="0.2"/>
    <row r="858" ht="19.5" customHeight="1" x14ac:dyDescent="0.2"/>
    <row r="859" ht="19.5" customHeight="1" x14ac:dyDescent="0.2"/>
    <row r="860" ht="19.5" customHeight="1" x14ac:dyDescent="0.2"/>
    <row r="861" ht="19.5" customHeight="1" x14ac:dyDescent="0.2"/>
    <row r="862" ht="19.5" customHeight="1" x14ac:dyDescent="0.2"/>
    <row r="863" ht="19.5" customHeight="1" x14ac:dyDescent="0.2"/>
    <row r="864" ht="19.5" customHeight="1" x14ac:dyDescent="0.2"/>
    <row r="865" ht="19.5" customHeight="1" x14ac:dyDescent="0.2"/>
    <row r="866" ht="19.5" customHeight="1" x14ac:dyDescent="0.2"/>
    <row r="867" ht="19.5" customHeight="1" x14ac:dyDescent="0.2"/>
    <row r="868" ht="19.5" customHeight="1" x14ac:dyDescent="0.2"/>
    <row r="869" ht="19.5" customHeight="1" x14ac:dyDescent="0.2"/>
    <row r="870" ht="19.5" customHeight="1" x14ac:dyDescent="0.2"/>
    <row r="871" ht="19.5" customHeight="1" x14ac:dyDescent="0.2"/>
    <row r="872" ht="19.5" customHeight="1" x14ac:dyDescent="0.2"/>
    <row r="873" ht="19.5" customHeight="1" x14ac:dyDescent="0.2"/>
    <row r="874" ht="19.5" customHeight="1" x14ac:dyDescent="0.2"/>
    <row r="875" ht="19.5" customHeight="1" x14ac:dyDescent="0.2"/>
    <row r="876" ht="19.5" customHeight="1" x14ac:dyDescent="0.2"/>
    <row r="877" ht="19.5" customHeight="1" x14ac:dyDescent="0.2"/>
    <row r="878" ht="19.5" customHeight="1" x14ac:dyDescent="0.2"/>
    <row r="879" ht="19.5" customHeight="1" x14ac:dyDescent="0.2"/>
    <row r="880" ht="19.5" customHeight="1" x14ac:dyDescent="0.2"/>
    <row r="881" ht="19.5" customHeight="1" x14ac:dyDescent="0.2"/>
    <row r="882" ht="19.5" customHeight="1" x14ac:dyDescent="0.2"/>
    <row r="883" ht="19.5" customHeight="1" x14ac:dyDescent="0.2"/>
    <row r="884" ht="19.5" customHeight="1" x14ac:dyDescent="0.2"/>
    <row r="885" ht="19.5" customHeight="1" x14ac:dyDescent="0.2"/>
    <row r="886" ht="19.5" customHeight="1" x14ac:dyDescent="0.2"/>
    <row r="887" ht="19.5" customHeight="1" x14ac:dyDescent="0.2"/>
    <row r="888" ht="19.5" customHeight="1" x14ac:dyDescent="0.2"/>
    <row r="889" ht="19.5" customHeight="1" x14ac:dyDescent="0.2"/>
    <row r="890" ht="19.5" customHeight="1" x14ac:dyDescent="0.2"/>
    <row r="891" ht="19.5" customHeight="1" x14ac:dyDescent="0.2"/>
    <row r="892" ht="19.5" customHeight="1" x14ac:dyDescent="0.2"/>
    <row r="893" ht="19.5" customHeight="1" x14ac:dyDescent="0.2"/>
    <row r="894" ht="19.5" customHeight="1" x14ac:dyDescent="0.2"/>
    <row r="895" ht="19.5" customHeight="1" x14ac:dyDescent="0.2"/>
    <row r="896" ht="19.5" customHeight="1" x14ac:dyDescent="0.2"/>
    <row r="897" ht="19.5" customHeight="1" x14ac:dyDescent="0.2"/>
    <row r="898" ht="19.5" customHeight="1" x14ac:dyDescent="0.2"/>
    <row r="899" ht="19.5" customHeight="1" x14ac:dyDescent="0.2"/>
    <row r="900" ht="19.5" customHeight="1" x14ac:dyDescent="0.2"/>
    <row r="901" ht="19.5" customHeight="1" x14ac:dyDescent="0.2"/>
    <row r="902" ht="19.5" customHeight="1" x14ac:dyDescent="0.2"/>
    <row r="903" ht="19.5" customHeight="1" x14ac:dyDescent="0.2"/>
    <row r="904" ht="19.5" customHeight="1" x14ac:dyDescent="0.2"/>
    <row r="905" ht="19.5" customHeight="1" x14ac:dyDescent="0.2"/>
    <row r="906" ht="19.5" customHeight="1" x14ac:dyDescent="0.2"/>
    <row r="907" ht="19.5" customHeight="1" x14ac:dyDescent="0.2"/>
    <row r="908" ht="19.5" customHeight="1" x14ac:dyDescent="0.2"/>
    <row r="909" ht="19.5" customHeight="1" x14ac:dyDescent="0.2"/>
    <row r="910" ht="19.5" customHeight="1" x14ac:dyDescent="0.2"/>
    <row r="911" ht="19.5" customHeight="1" x14ac:dyDescent="0.2"/>
    <row r="912" ht="19.5" customHeight="1" x14ac:dyDescent="0.2"/>
    <row r="913" ht="19.5" customHeight="1" x14ac:dyDescent="0.2"/>
    <row r="914" ht="19.5" customHeight="1" x14ac:dyDescent="0.2"/>
    <row r="915" ht="19.5" customHeight="1" x14ac:dyDescent="0.2"/>
    <row r="916" ht="19.5" customHeight="1" x14ac:dyDescent="0.2"/>
    <row r="917" ht="19.5" customHeight="1" x14ac:dyDescent="0.2"/>
    <row r="918" ht="19.5" customHeight="1" x14ac:dyDescent="0.2"/>
    <row r="919" ht="19.5" customHeight="1" x14ac:dyDescent="0.2"/>
    <row r="920" ht="19.5" customHeight="1" x14ac:dyDescent="0.2"/>
    <row r="921" ht="19.5" customHeight="1" x14ac:dyDescent="0.2"/>
    <row r="922" ht="19.5" customHeight="1" x14ac:dyDescent="0.2"/>
    <row r="923" ht="19.5" customHeight="1" x14ac:dyDescent="0.2"/>
    <row r="924" ht="19.5" customHeight="1" x14ac:dyDescent="0.2"/>
    <row r="925" ht="19.5" customHeight="1" x14ac:dyDescent="0.2"/>
    <row r="926" ht="19.5" customHeight="1" x14ac:dyDescent="0.2"/>
    <row r="927" ht="19.5" customHeight="1" x14ac:dyDescent="0.2"/>
    <row r="928" ht="19.5" customHeight="1" x14ac:dyDescent="0.2"/>
    <row r="929" ht="19.5" customHeight="1" x14ac:dyDescent="0.2"/>
    <row r="930" ht="19.5" customHeight="1" x14ac:dyDescent="0.2"/>
    <row r="931" ht="19.5" customHeight="1" x14ac:dyDescent="0.2"/>
    <row r="932" ht="19.5" customHeight="1" x14ac:dyDescent="0.2"/>
    <row r="933" ht="19.5" customHeight="1" x14ac:dyDescent="0.2"/>
    <row r="934" ht="19.5" customHeight="1" x14ac:dyDescent="0.2"/>
    <row r="935" ht="19.5" customHeight="1" x14ac:dyDescent="0.2"/>
    <row r="936" ht="19.5" customHeight="1" x14ac:dyDescent="0.2"/>
    <row r="937" ht="19.5" customHeight="1" x14ac:dyDescent="0.2"/>
    <row r="938" ht="19.5" customHeight="1" x14ac:dyDescent="0.2"/>
    <row r="939" ht="19.5" customHeight="1" x14ac:dyDescent="0.2"/>
    <row r="940" ht="19.5" customHeight="1" x14ac:dyDescent="0.2"/>
    <row r="941" ht="19.5" customHeight="1" x14ac:dyDescent="0.2"/>
    <row r="942" ht="19.5" customHeight="1" x14ac:dyDescent="0.2"/>
    <row r="943" ht="19.5" customHeight="1" x14ac:dyDescent="0.2"/>
    <row r="944" ht="19.5" customHeight="1" x14ac:dyDescent="0.2"/>
    <row r="945" ht="19.5" customHeight="1" x14ac:dyDescent="0.2"/>
    <row r="946" ht="19.5" customHeight="1" x14ac:dyDescent="0.2"/>
    <row r="947" ht="19.5" customHeight="1" x14ac:dyDescent="0.2"/>
    <row r="948" ht="19.5" customHeight="1" x14ac:dyDescent="0.2"/>
    <row r="949" ht="19.5" customHeight="1" x14ac:dyDescent="0.2"/>
    <row r="950" ht="19.5" customHeight="1" x14ac:dyDescent="0.2"/>
    <row r="951" ht="19.5" customHeight="1" x14ac:dyDescent="0.2"/>
    <row r="952" ht="19.5" customHeight="1" x14ac:dyDescent="0.2"/>
    <row r="953" ht="19.5" customHeight="1" x14ac:dyDescent="0.2"/>
    <row r="954" ht="19.5" customHeight="1" x14ac:dyDescent="0.2"/>
    <row r="955" ht="19.5" customHeight="1" x14ac:dyDescent="0.2"/>
    <row r="956" ht="19.5" customHeight="1" x14ac:dyDescent="0.2"/>
    <row r="957" ht="19.5" customHeight="1" x14ac:dyDescent="0.2"/>
    <row r="958" ht="19.5" customHeight="1" x14ac:dyDescent="0.2"/>
    <row r="959" ht="19.5" customHeight="1" x14ac:dyDescent="0.2"/>
    <row r="960" ht="19.5" customHeight="1" x14ac:dyDescent="0.2"/>
    <row r="961" ht="19.5" customHeight="1" x14ac:dyDescent="0.2"/>
    <row r="962" ht="19.5" customHeight="1" x14ac:dyDescent="0.2"/>
    <row r="963" ht="19.5" customHeight="1" x14ac:dyDescent="0.2"/>
    <row r="964" ht="19.5" customHeight="1" x14ac:dyDescent="0.2"/>
    <row r="965" ht="19.5" customHeight="1" x14ac:dyDescent="0.2"/>
    <row r="966" ht="19.5" customHeight="1" x14ac:dyDescent="0.2"/>
    <row r="967" ht="19.5" customHeight="1" x14ac:dyDescent="0.2"/>
    <row r="968" ht="19.5" customHeight="1" x14ac:dyDescent="0.2"/>
    <row r="969" ht="19.5" customHeight="1" x14ac:dyDescent="0.2"/>
    <row r="970" ht="19.5" customHeight="1" x14ac:dyDescent="0.2"/>
    <row r="971" ht="19.5" customHeight="1" x14ac:dyDescent="0.2"/>
    <row r="972" ht="19.5" customHeight="1" x14ac:dyDescent="0.2"/>
    <row r="973" ht="19.5" customHeight="1" x14ac:dyDescent="0.2"/>
    <row r="974" ht="19.5" customHeight="1" x14ac:dyDescent="0.2"/>
    <row r="975" ht="19.5" customHeight="1" x14ac:dyDescent="0.2"/>
    <row r="976" ht="19.5" customHeight="1" x14ac:dyDescent="0.2"/>
    <row r="977" ht="19.5" customHeight="1" x14ac:dyDescent="0.2"/>
    <row r="978" ht="19.5" customHeight="1" x14ac:dyDescent="0.2"/>
    <row r="979" ht="19.5" customHeight="1" x14ac:dyDescent="0.2"/>
    <row r="980" ht="19.5" customHeight="1" x14ac:dyDescent="0.2"/>
    <row r="981" ht="19.5" customHeight="1" x14ac:dyDescent="0.2"/>
    <row r="982" ht="19.5" customHeight="1" x14ac:dyDescent="0.2"/>
    <row r="983" ht="19.5" customHeight="1" x14ac:dyDescent="0.2"/>
    <row r="984" ht="19.5" customHeight="1" x14ac:dyDescent="0.2"/>
    <row r="985" ht="19.5" customHeight="1" x14ac:dyDescent="0.2"/>
    <row r="986" ht="19.5" customHeight="1" x14ac:dyDescent="0.2"/>
    <row r="987" ht="19.5" customHeight="1" x14ac:dyDescent="0.2"/>
    <row r="988" ht="19.5" customHeight="1" x14ac:dyDescent="0.2"/>
    <row r="989" ht="19.5" customHeight="1" x14ac:dyDescent="0.2"/>
    <row r="990" ht="19.5" customHeight="1" x14ac:dyDescent="0.2"/>
    <row r="991" ht="19.5" customHeight="1" x14ac:dyDescent="0.2"/>
    <row r="992" ht="19.5" customHeight="1" x14ac:dyDescent="0.2"/>
    <row r="993" ht="19.5" customHeight="1" x14ac:dyDescent="0.2"/>
    <row r="994" ht="19.5" customHeight="1" x14ac:dyDescent="0.2"/>
    <row r="995" ht="19.5" customHeight="1" x14ac:dyDescent="0.2"/>
    <row r="996" ht="19.5" customHeight="1" x14ac:dyDescent="0.2"/>
    <row r="997" ht="19.5" customHeight="1" x14ac:dyDescent="0.2"/>
    <row r="998" ht="19.5" customHeight="1" x14ac:dyDescent="0.2"/>
    <row r="999" ht="19.5" customHeight="1" x14ac:dyDescent="0.2"/>
    <row r="1000" ht="19.5" customHeight="1"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97"/>
  <sheetViews>
    <sheetView workbookViewId="0"/>
  </sheetViews>
  <sheetFormatPr defaultColWidth="12.5703125" defaultRowHeight="15.75" customHeight="1" x14ac:dyDescent="0.2"/>
  <sheetData>
    <row r="1" spans="1:12" ht="15.75" customHeight="1" x14ac:dyDescent="0.25">
      <c r="A1" s="15" t="s">
        <v>300</v>
      </c>
      <c r="B1" s="15" t="s">
        <v>301</v>
      </c>
      <c r="C1" s="15" t="s">
        <v>302</v>
      </c>
      <c r="D1" s="15" t="s">
        <v>303</v>
      </c>
      <c r="E1" s="15" t="s">
        <v>304</v>
      </c>
      <c r="F1" s="15" t="s">
        <v>305</v>
      </c>
      <c r="G1" s="15" t="s">
        <v>306</v>
      </c>
      <c r="H1" s="15" t="s">
        <v>307</v>
      </c>
      <c r="I1" s="15" t="s">
        <v>308</v>
      </c>
      <c r="J1" s="15" t="s">
        <v>584</v>
      </c>
      <c r="K1" s="15" t="s">
        <v>585</v>
      </c>
      <c r="L1" s="13" t="s">
        <v>586</v>
      </c>
    </row>
    <row r="2" spans="1:12" ht="15.75" customHeight="1" x14ac:dyDescent="0.25">
      <c r="A2" s="13" t="s">
        <v>373</v>
      </c>
      <c r="B2" s="13" t="s">
        <v>312</v>
      </c>
      <c r="C2" s="13" t="s">
        <v>313</v>
      </c>
      <c r="D2" s="14" t="s">
        <v>587</v>
      </c>
      <c r="E2" s="13" t="s">
        <v>315</v>
      </c>
      <c r="F2" s="14">
        <v>5</v>
      </c>
      <c r="G2" s="14">
        <v>1</v>
      </c>
      <c r="H2" s="13" t="s">
        <v>316</v>
      </c>
      <c r="I2" s="13" t="s">
        <v>317</v>
      </c>
      <c r="J2" s="13" t="s">
        <v>588</v>
      </c>
      <c r="K2" s="13" t="s">
        <v>589</v>
      </c>
      <c r="L2" s="13" t="s">
        <v>590</v>
      </c>
    </row>
    <row r="3" spans="1:12" ht="15.75" customHeight="1" x14ac:dyDescent="0.25">
      <c r="A3" s="13" t="s">
        <v>327</v>
      </c>
      <c r="B3" s="13" t="s">
        <v>312</v>
      </c>
      <c r="C3" s="13" t="s">
        <v>313</v>
      </c>
      <c r="D3" s="14" t="s">
        <v>587</v>
      </c>
      <c r="E3" s="13" t="s">
        <v>315</v>
      </c>
      <c r="F3" s="14">
        <v>5</v>
      </c>
      <c r="G3" s="14">
        <v>1</v>
      </c>
      <c r="H3" s="13" t="s">
        <v>316</v>
      </c>
      <c r="I3" s="13" t="s">
        <v>317</v>
      </c>
      <c r="J3" s="13" t="s">
        <v>591</v>
      </c>
      <c r="K3" s="13" t="s">
        <v>592</v>
      </c>
      <c r="L3" s="13" t="s">
        <v>593</v>
      </c>
    </row>
    <row r="4" spans="1:12" ht="15.75" customHeight="1" x14ac:dyDescent="0.25">
      <c r="A4" s="13" t="s">
        <v>320</v>
      </c>
      <c r="B4" s="13" t="s">
        <v>312</v>
      </c>
      <c r="C4" s="13" t="s">
        <v>313</v>
      </c>
      <c r="D4" s="14" t="s">
        <v>587</v>
      </c>
      <c r="E4" s="13" t="s">
        <v>315</v>
      </c>
      <c r="F4" s="14">
        <v>5</v>
      </c>
      <c r="G4" s="14">
        <v>1</v>
      </c>
      <c r="H4" s="13" t="s">
        <v>316</v>
      </c>
      <c r="I4" s="13" t="s">
        <v>317</v>
      </c>
      <c r="J4" s="13" t="s">
        <v>594</v>
      </c>
      <c r="K4" s="13" t="s">
        <v>594</v>
      </c>
      <c r="L4" s="13" t="s">
        <v>595</v>
      </c>
    </row>
    <row r="5" spans="1:12" ht="15.75" customHeight="1" x14ac:dyDescent="0.25">
      <c r="A5" s="13" t="s">
        <v>403</v>
      </c>
      <c r="B5" s="13" t="s">
        <v>312</v>
      </c>
      <c r="C5" s="13" t="s">
        <v>313</v>
      </c>
      <c r="D5" s="14" t="s">
        <v>587</v>
      </c>
      <c r="E5" s="13" t="s">
        <v>315</v>
      </c>
      <c r="F5" s="14">
        <v>5</v>
      </c>
      <c r="G5" s="14">
        <v>1</v>
      </c>
      <c r="H5" s="13" t="s">
        <v>316</v>
      </c>
      <c r="I5" s="13" t="s">
        <v>317</v>
      </c>
      <c r="J5" s="13" t="s">
        <v>596</v>
      </c>
      <c r="K5" s="13" t="s">
        <v>597</v>
      </c>
      <c r="L5" s="13" t="s">
        <v>590</v>
      </c>
    </row>
    <row r="6" spans="1:12" ht="15.75" customHeight="1" x14ac:dyDescent="0.25">
      <c r="A6" s="13" t="s">
        <v>211</v>
      </c>
      <c r="B6" s="13" t="s">
        <v>312</v>
      </c>
      <c r="C6" s="13" t="s">
        <v>313</v>
      </c>
      <c r="D6" s="14" t="s">
        <v>587</v>
      </c>
      <c r="E6" s="13" t="s">
        <v>315</v>
      </c>
      <c r="F6" s="14">
        <v>5</v>
      </c>
      <c r="G6" s="14">
        <v>1</v>
      </c>
      <c r="H6" s="13" t="s">
        <v>316</v>
      </c>
      <c r="I6" s="13" t="s">
        <v>317</v>
      </c>
      <c r="J6" s="13" t="s">
        <v>598</v>
      </c>
      <c r="K6" s="13" t="s">
        <v>598</v>
      </c>
      <c r="L6" s="13" t="s">
        <v>595</v>
      </c>
    </row>
    <row r="7" spans="1:12" ht="15.75" customHeight="1" x14ac:dyDescent="0.25">
      <c r="A7" s="13" t="s">
        <v>337</v>
      </c>
      <c r="B7" s="13" t="s">
        <v>312</v>
      </c>
      <c r="C7" s="13" t="s">
        <v>313</v>
      </c>
      <c r="D7" s="14" t="s">
        <v>587</v>
      </c>
      <c r="E7" s="13" t="s">
        <v>315</v>
      </c>
      <c r="F7" s="14">
        <v>5</v>
      </c>
      <c r="G7" s="14">
        <v>1</v>
      </c>
      <c r="H7" s="13" t="s">
        <v>316</v>
      </c>
      <c r="I7" s="13" t="s">
        <v>317</v>
      </c>
      <c r="J7" s="13" t="s">
        <v>599</v>
      </c>
      <c r="K7" s="13" t="s">
        <v>599</v>
      </c>
      <c r="L7" s="13" t="s">
        <v>595</v>
      </c>
    </row>
    <row r="8" spans="1:12" ht="15.75" customHeight="1" x14ac:dyDescent="0.25">
      <c r="A8" s="13" t="s">
        <v>367</v>
      </c>
      <c r="B8" s="13" t="s">
        <v>312</v>
      </c>
      <c r="C8" s="13" t="s">
        <v>313</v>
      </c>
      <c r="D8" s="14" t="s">
        <v>587</v>
      </c>
      <c r="E8" s="13" t="s">
        <v>315</v>
      </c>
      <c r="F8" s="14">
        <v>5</v>
      </c>
      <c r="G8" s="14">
        <v>1</v>
      </c>
      <c r="H8" s="13" t="s">
        <v>316</v>
      </c>
      <c r="I8" s="13" t="s">
        <v>317</v>
      </c>
      <c r="J8" s="13" t="s">
        <v>600</v>
      </c>
      <c r="K8" s="13" t="s">
        <v>601</v>
      </c>
      <c r="L8" s="13" t="s">
        <v>593</v>
      </c>
    </row>
    <row r="9" spans="1:12" ht="15.75" customHeight="1" x14ac:dyDescent="0.25">
      <c r="A9" s="13" t="s">
        <v>262</v>
      </c>
      <c r="B9" s="13" t="s">
        <v>312</v>
      </c>
      <c r="C9" s="13" t="s">
        <v>313</v>
      </c>
      <c r="D9" s="14" t="s">
        <v>587</v>
      </c>
      <c r="E9" s="13" t="s">
        <v>315</v>
      </c>
      <c r="F9" s="14">
        <v>5</v>
      </c>
      <c r="G9" s="14">
        <v>1</v>
      </c>
      <c r="H9" s="13" t="s">
        <v>316</v>
      </c>
      <c r="I9" s="13" t="s">
        <v>317</v>
      </c>
      <c r="J9" s="13" t="s">
        <v>602</v>
      </c>
      <c r="K9" s="13" t="s">
        <v>602</v>
      </c>
      <c r="L9" s="13" t="s">
        <v>595</v>
      </c>
    </row>
    <row r="10" spans="1:12" ht="15.75" customHeight="1" x14ac:dyDescent="0.25">
      <c r="A10" s="13" t="s">
        <v>467</v>
      </c>
      <c r="B10" s="13" t="s">
        <v>312</v>
      </c>
      <c r="C10" s="13" t="s">
        <v>313</v>
      </c>
      <c r="D10" s="14" t="s">
        <v>587</v>
      </c>
      <c r="E10" s="13" t="s">
        <v>315</v>
      </c>
      <c r="F10" s="14">
        <v>5</v>
      </c>
      <c r="G10" s="14">
        <v>1</v>
      </c>
      <c r="H10" s="13" t="s">
        <v>316</v>
      </c>
      <c r="I10" s="13" t="s">
        <v>317</v>
      </c>
      <c r="J10" s="13" t="s">
        <v>603</v>
      </c>
      <c r="K10" s="13" t="s">
        <v>603</v>
      </c>
      <c r="L10" s="13" t="s">
        <v>595</v>
      </c>
    </row>
    <row r="11" spans="1:12" ht="15.75" customHeight="1" x14ac:dyDescent="0.25">
      <c r="A11" s="13" t="s">
        <v>104</v>
      </c>
      <c r="B11" s="13" t="s">
        <v>312</v>
      </c>
      <c r="C11" s="13" t="s">
        <v>313</v>
      </c>
      <c r="D11" s="14" t="s">
        <v>587</v>
      </c>
      <c r="E11" s="13" t="s">
        <v>315</v>
      </c>
      <c r="F11" s="14">
        <v>5</v>
      </c>
      <c r="G11" s="14">
        <v>1</v>
      </c>
      <c r="H11" s="13" t="s">
        <v>316</v>
      </c>
      <c r="I11" s="13" t="s">
        <v>317</v>
      </c>
      <c r="J11" s="13" t="s">
        <v>604</v>
      </c>
      <c r="K11" s="13" t="s">
        <v>604</v>
      </c>
      <c r="L11" s="13" t="s">
        <v>595</v>
      </c>
    </row>
    <row r="12" spans="1:12" ht="15.75" customHeight="1" x14ac:dyDescent="0.25">
      <c r="A12" s="13" t="s">
        <v>353</v>
      </c>
      <c r="B12" s="13" t="s">
        <v>312</v>
      </c>
      <c r="C12" s="13" t="s">
        <v>313</v>
      </c>
      <c r="D12" s="14" t="s">
        <v>587</v>
      </c>
      <c r="E12" s="13" t="s">
        <v>315</v>
      </c>
      <c r="F12" s="14">
        <v>5</v>
      </c>
      <c r="G12" s="14">
        <v>1</v>
      </c>
      <c r="H12" s="13" t="s">
        <v>316</v>
      </c>
      <c r="I12" s="13" t="s">
        <v>317</v>
      </c>
      <c r="J12" s="13" t="s">
        <v>605</v>
      </c>
      <c r="K12" s="13" t="s">
        <v>606</v>
      </c>
      <c r="L12" s="13" t="s">
        <v>590</v>
      </c>
    </row>
    <row r="13" spans="1:12" ht="15.75" customHeight="1" x14ac:dyDescent="0.25">
      <c r="A13" s="13" t="s">
        <v>133</v>
      </c>
      <c r="B13" s="13" t="s">
        <v>312</v>
      </c>
      <c r="C13" s="13" t="s">
        <v>313</v>
      </c>
      <c r="D13" s="14" t="s">
        <v>587</v>
      </c>
      <c r="E13" s="13" t="s">
        <v>315</v>
      </c>
      <c r="F13" s="14">
        <v>5</v>
      </c>
      <c r="G13" s="14">
        <v>1</v>
      </c>
      <c r="H13" s="13" t="s">
        <v>316</v>
      </c>
      <c r="I13" s="13" t="s">
        <v>317</v>
      </c>
      <c r="J13" s="13" t="s">
        <v>607</v>
      </c>
      <c r="K13" s="13" t="s">
        <v>607</v>
      </c>
      <c r="L13" s="13" t="s">
        <v>595</v>
      </c>
    </row>
    <row r="14" spans="1:12" ht="15.75" customHeight="1" x14ac:dyDescent="0.25">
      <c r="A14" s="13" t="s">
        <v>143</v>
      </c>
      <c r="B14" s="13" t="s">
        <v>312</v>
      </c>
      <c r="C14" s="13" t="s">
        <v>313</v>
      </c>
      <c r="D14" s="14" t="s">
        <v>587</v>
      </c>
      <c r="E14" s="13" t="s">
        <v>315</v>
      </c>
      <c r="F14" s="14">
        <v>5</v>
      </c>
      <c r="G14" s="14">
        <v>1</v>
      </c>
      <c r="H14" s="13" t="s">
        <v>316</v>
      </c>
      <c r="I14" s="13" t="s">
        <v>317</v>
      </c>
      <c r="J14" s="13" t="s">
        <v>608</v>
      </c>
      <c r="K14" s="13" t="s">
        <v>608</v>
      </c>
      <c r="L14" s="13" t="s">
        <v>595</v>
      </c>
    </row>
    <row r="15" spans="1:12" ht="15.75" customHeight="1" x14ac:dyDescent="0.25">
      <c r="A15" s="13" t="s">
        <v>470</v>
      </c>
      <c r="B15" s="13" t="s">
        <v>312</v>
      </c>
      <c r="C15" s="13" t="s">
        <v>313</v>
      </c>
      <c r="D15" s="14" t="s">
        <v>587</v>
      </c>
      <c r="E15" s="13" t="s">
        <v>315</v>
      </c>
      <c r="F15" s="14">
        <v>5</v>
      </c>
      <c r="G15" s="14">
        <v>1</v>
      </c>
      <c r="H15" s="13" t="s">
        <v>316</v>
      </c>
      <c r="I15" s="13" t="s">
        <v>317</v>
      </c>
      <c r="J15" s="13" t="s">
        <v>609</v>
      </c>
      <c r="K15" s="13" t="s">
        <v>609</v>
      </c>
      <c r="L15" s="13" t="s">
        <v>595</v>
      </c>
    </row>
    <row r="16" spans="1:12" ht="15.75" customHeight="1" x14ac:dyDescent="0.25">
      <c r="A16" s="13" t="s">
        <v>379</v>
      </c>
      <c r="B16" s="13" t="s">
        <v>312</v>
      </c>
      <c r="C16" s="13" t="s">
        <v>313</v>
      </c>
      <c r="D16" s="14" t="s">
        <v>587</v>
      </c>
      <c r="E16" s="13" t="s">
        <v>315</v>
      </c>
      <c r="F16" s="14">
        <v>5</v>
      </c>
      <c r="G16" s="14">
        <v>1</v>
      </c>
      <c r="H16" s="13" t="s">
        <v>316</v>
      </c>
      <c r="I16" s="13" t="s">
        <v>317</v>
      </c>
      <c r="J16" s="13" t="s">
        <v>610</v>
      </c>
      <c r="K16" s="13" t="s">
        <v>611</v>
      </c>
      <c r="L16" s="13" t="s">
        <v>593</v>
      </c>
    </row>
    <row r="17" spans="1:12" ht="15.75" customHeight="1" x14ac:dyDescent="0.25">
      <c r="A17" s="13" t="s">
        <v>41</v>
      </c>
      <c r="B17" s="13" t="s">
        <v>312</v>
      </c>
      <c r="C17" s="13" t="s">
        <v>313</v>
      </c>
      <c r="D17" s="14" t="s">
        <v>587</v>
      </c>
      <c r="E17" s="13" t="s">
        <v>315</v>
      </c>
      <c r="F17" s="14">
        <v>5</v>
      </c>
      <c r="G17" s="14">
        <v>1</v>
      </c>
      <c r="H17" s="13" t="s">
        <v>316</v>
      </c>
      <c r="I17" s="13" t="s">
        <v>317</v>
      </c>
      <c r="J17" s="13" t="s">
        <v>612</v>
      </c>
      <c r="K17" s="13" t="s">
        <v>613</v>
      </c>
      <c r="L17" s="13" t="s">
        <v>590</v>
      </c>
    </row>
    <row r="18" spans="1:12" ht="15.75" customHeight="1" x14ac:dyDescent="0.25">
      <c r="A18" s="13" t="s">
        <v>128</v>
      </c>
      <c r="B18" s="13" t="s">
        <v>312</v>
      </c>
      <c r="C18" s="13" t="s">
        <v>313</v>
      </c>
      <c r="D18" s="14" t="s">
        <v>587</v>
      </c>
      <c r="E18" s="13" t="s">
        <v>315</v>
      </c>
      <c r="F18" s="14">
        <v>5</v>
      </c>
      <c r="G18" s="14">
        <v>1</v>
      </c>
      <c r="H18" s="13" t="s">
        <v>316</v>
      </c>
      <c r="I18" s="13" t="s">
        <v>317</v>
      </c>
      <c r="J18" s="13" t="s">
        <v>614</v>
      </c>
      <c r="K18" s="13" t="s">
        <v>615</v>
      </c>
      <c r="L18" s="13" t="s">
        <v>590</v>
      </c>
    </row>
    <row r="19" spans="1:12" ht="15.75" customHeight="1" x14ac:dyDescent="0.25">
      <c r="A19" s="13" t="s">
        <v>513</v>
      </c>
      <c r="B19" s="13" t="s">
        <v>312</v>
      </c>
      <c r="C19" s="13" t="s">
        <v>313</v>
      </c>
      <c r="D19" s="14" t="s">
        <v>587</v>
      </c>
      <c r="E19" s="13" t="s">
        <v>315</v>
      </c>
      <c r="F19" s="14">
        <v>5</v>
      </c>
      <c r="G19" s="14">
        <v>1</v>
      </c>
      <c r="H19" s="13" t="s">
        <v>316</v>
      </c>
      <c r="I19" s="13" t="s">
        <v>317</v>
      </c>
      <c r="J19" s="13" t="s">
        <v>609</v>
      </c>
      <c r="K19" s="13" t="s">
        <v>609</v>
      </c>
      <c r="L19" s="13" t="s">
        <v>595</v>
      </c>
    </row>
    <row r="20" spans="1:12" ht="15.75" customHeight="1" x14ac:dyDescent="0.25">
      <c r="A20" s="13" t="s">
        <v>382</v>
      </c>
      <c r="B20" s="13" t="s">
        <v>312</v>
      </c>
      <c r="C20" s="13" t="s">
        <v>313</v>
      </c>
      <c r="D20" s="14" t="s">
        <v>587</v>
      </c>
      <c r="E20" s="13" t="s">
        <v>315</v>
      </c>
      <c r="F20" s="14">
        <v>5</v>
      </c>
      <c r="G20" s="14">
        <v>1</v>
      </c>
      <c r="H20" s="13" t="s">
        <v>316</v>
      </c>
      <c r="I20" s="13" t="s">
        <v>317</v>
      </c>
      <c r="J20" s="13" t="s">
        <v>610</v>
      </c>
      <c r="K20" s="13" t="s">
        <v>592</v>
      </c>
      <c r="L20" s="13" t="s">
        <v>590</v>
      </c>
    </row>
    <row r="21" spans="1:12" ht="15.75" customHeight="1" x14ac:dyDescent="0.25">
      <c r="A21" s="13" t="s">
        <v>397</v>
      </c>
      <c r="B21" s="13" t="s">
        <v>312</v>
      </c>
      <c r="C21" s="13" t="s">
        <v>313</v>
      </c>
      <c r="D21" s="14" t="s">
        <v>587</v>
      </c>
      <c r="E21" s="13" t="s">
        <v>315</v>
      </c>
      <c r="F21" s="14">
        <v>5</v>
      </c>
      <c r="G21" s="14">
        <v>1</v>
      </c>
      <c r="H21" s="13" t="s">
        <v>316</v>
      </c>
      <c r="I21" s="13" t="s">
        <v>317</v>
      </c>
      <c r="J21" s="13" t="s">
        <v>616</v>
      </c>
      <c r="K21" s="13" t="s">
        <v>616</v>
      </c>
      <c r="L21" s="13" t="s">
        <v>595</v>
      </c>
    </row>
    <row r="22" spans="1:12" ht="15.75" customHeight="1" x14ac:dyDescent="0.25">
      <c r="A22" s="13" t="s">
        <v>82</v>
      </c>
      <c r="B22" s="13" t="s">
        <v>312</v>
      </c>
      <c r="C22" s="13" t="s">
        <v>313</v>
      </c>
      <c r="D22" s="14" t="s">
        <v>587</v>
      </c>
      <c r="E22" s="13" t="s">
        <v>315</v>
      </c>
      <c r="F22" s="14">
        <v>5</v>
      </c>
      <c r="G22" s="14">
        <v>1</v>
      </c>
      <c r="H22" s="13" t="s">
        <v>316</v>
      </c>
      <c r="I22" s="13" t="s">
        <v>317</v>
      </c>
      <c r="J22" s="13" t="s">
        <v>617</v>
      </c>
      <c r="K22" s="13" t="s">
        <v>618</v>
      </c>
      <c r="L22" s="13" t="s">
        <v>590</v>
      </c>
    </row>
    <row r="23" spans="1:12" ht="15.75" customHeight="1" x14ac:dyDescent="0.25">
      <c r="A23" s="13" t="s">
        <v>400</v>
      </c>
      <c r="B23" s="13" t="s">
        <v>312</v>
      </c>
      <c r="C23" s="13" t="s">
        <v>313</v>
      </c>
      <c r="D23" s="14" t="s">
        <v>587</v>
      </c>
      <c r="E23" s="13" t="s">
        <v>315</v>
      </c>
      <c r="F23" s="14">
        <v>5</v>
      </c>
      <c r="G23" s="14">
        <v>1</v>
      </c>
      <c r="H23" s="13" t="s">
        <v>316</v>
      </c>
      <c r="I23" s="13" t="s">
        <v>317</v>
      </c>
      <c r="J23" s="13" t="s">
        <v>619</v>
      </c>
      <c r="K23" s="13" t="s">
        <v>611</v>
      </c>
      <c r="L23" s="13" t="s">
        <v>590</v>
      </c>
    </row>
    <row r="24" spans="1:12" ht="15.75" customHeight="1" x14ac:dyDescent="0.25">
      <c r="A24" s="13" t="s">
        <v>370</v>
      </c>
      <c r="B24" s="13" t="s">
        <v>312</v>
      </c>
      <c r="C24" s="13" t="s">
        <v>313</v>
      </c>
      <c r="D24" s="14" t="s">
        <v>587</v>
      </c>
      <c r="E24" s="13" t="s">
        <v>315</v>
      </c>
      <c r="F24" s="14">
        <v>5</v>
      </c>
      <c r="G24" s="14">
        <v>1</v>
      </c>
      <c r="H24" s="13" t="s">
        <v>316</v>
      </c>
      <c r="I24" s="13" t="s">
        <v>317</v>
      </c>
      <c r="J24" s="13" t="s">
        <v>620</v>
      </c>
      <c r="K24" s="13" t="s">
        <v>621</v>
      </c>
      <c r="L24" s="13" t="s">
        <v>590</v>
      </c>
    </row>
    <row r="25" spans="1:12" ht="15.75" customHeight="1" x14ac:dyDescent="0.25">
      <c r="A25" s="13" t="s">
        <v>118</v>
      </c>
      <c r="B25" s="13" t="s">
        <v>312</v>
      </c>
      <c r="C25" s="13" t="s">
        <v>313</v>
      </c>
      <c r="D25" s="14" t="s">
        <v>587</v>
      </c>
      <c r="E25" s="13" t="s">
        <v>315</v>
      </c>
      <c r="F25" s="14">
        <v>5</v>
      </c>
      <c r="G25" s="14">
        <v>1</v>
      </c>
      <c r="H25" s="13" t="s">
        <v>316</v>
      </c>
      <c r="I25" s="13" t="s">
        <v>317</v>
      </c>
      <c r="J25" s="13" t="s">
        <v>622</v>
      </c>
      <c r="K25" s="13" t="s">
        <v>622</v>
      </c>
      <c r="L25" s="13" t="s">
        <v>595</v>
      </c>
    </row>
    <row r="26" spans="1:12" ht="15.75" customHeight="1" x14ac:dyDescent="0.25">
      <c r="A26" s="13" t="s">
        <v>311</v>
      </c>
      <c r="B26" s="13" t="s">
        <v>312</v>
      </c>
      <c r="C26" s="13" t="s">
        <v>313</v>
      </c>
      <c r="D26" s="14" t="s">
        <v>587</v>
      </c>
      <c r="E26" s="13" t="s">
        <v>315</v>
      </c>
      <c r="F26" s="14">
        <v>5</v>
      </c>
      <c r="G26" s="14">
        <v>1</v>
      </c>
      <c r="H26" s="13" t="s">
        <v>316</v>
      </c>
      <c r="I26" s="13" t="s">
        <v>317</v>
      </c>
      <c r="J26" s="13" t="s">
        <v>623</v>
      </c>
      <c r="K26" s="13" t="s">
        <v>623</v>
      </c>
      <c r="L26" s="13" t="s">
        <v>595</v>
      </c>
    </row>
    <row r="27" spans="1:12" ht="15.75" customHeight="1" x14ac:dyDescent="0.25">
      <c r="A27" s="13" t="s">
        <v>340</v>
      </c>
      <c r="B27" s="13" t="s">
        <v>312</v>
      </c>
      <c r="C27" s="13" t="s">
        <v>313</v>
      </c>
      <c r="D27" s="14" t="s">
        <v>587</v>
      </c>
      <c r="E27" s="13" t="s">
        <v>315</v>
      </c>
      <c r="F27" s="14">
        <v>5</v>
      </c>
      <c r="G27" s="14">
        <v>1</v>
      </c>
      <c r="H27" s="13" t="s">
        <v>316</v>
      </c>
      <c r="I27" s="13" t="s">
        <v>317</v>
      </c>
      <c r="J27" s="13" t="s">
        <v>591</v>
      </c>
      <c r="K27" s="13" t="s">
        <v>591</v>
      </c>
      <c r="L27" s="13" t="s">
        <v>595</v>
      </c>
    </row>
    <row r="28" spans="1:12" ht="15.75" customHeight="1" x14ac:dyDescent="0.25">
      <c r="A28" s="13" t="s">
        <v>464</v>
      </c>
      <c r="B28" s="13" t="s">
        <v>312</v>
      </c>
      <c r="C28" s="13" t="s">
        <v>313</v>
      </c>
      <c r="D28" s="14" t="s">
        <v>587</v>
      </c>
      <c r="E28" s="13" t="s">
        <v>315</v>
      </c>
      <c r="F28" s="14">
        <v>5</v>
      </c>
      <c r="G28" s="14">
        <v>1</v>
      </c>
      <c r="H28" s="13" t="s">
        <v>316</v>
      </c>
      <c r="I28" s="13" t="s">
        <v>317</v>
      </c>
      <c r="J28" s="13" t="s">
        <v>621</v>
      </c>
      <c r="K28" s="13" t="s">
        <v>624</v>
      </c>
      <c r="L28" s="13" t="s">
        <v>590</v>
      </c>
    </row>
    <row r="29" spans="1:12" ht="15.75" customHeight="1" x14ac:dyDescent="0.25">
      <c r="A29" s="13" t="s">
        <v>343</v>
      </c>
      <c r="B29" s="13" t="s">
        <v>312</v>
      </c>
      <c r="C29" s="13" t="s">
        <v>313</v>
      </c>
      <c r="D29" s="14" t="s">
        <v>587</v>
      </c>
      <c r="E29" s="13" t="s">
        <v>315</v>
      </c>
      <c r="F29" s="14">
        <v>5</v>
      </c>
      <c r="G29" s="14">
        <v>1</v>
      </c>
      <c r="H29" s="13" t="s">
        <v>316</v>
      </c>
      <c r="I29" s="13" t="s">
        <v>317</v>
      </c>
      <c r="J29" s="13" t="s">
        <v>625</v>
      </c>
      <c r="K29" s="13" t="s">
        <v>625</v>
      </c>
      <c r="L29" s="13" t="s">
        <v>595</v>
      </c>
    </row>
    <row r="30" spans="1:12" ht="15.75" customHeight="1" x14ac:dyDescent="0.25">
      <c r="A30" s="13" t="s">
        <v>356</v>
      </c>
      <c r="B30" s="13" t="s">
        <v>312</v>
      </c>
      <c r="C30" s="13" t="s">
        <v>313</v>
      </c>
      <c r="D30" s="14" t="s">
        <v>587</v>
      </c>
      <c r="E30" s="13" t="s">
        <v>315</v>
      </c>
      <c r="F30" s="14">
        <v>5</v>
      </c>
      <c r="G30" s="14">
        <v>1</v>
      </c>
      <c r="H30" s="13" t="s">
        <v>316</v>
      </c>
      <c r="I30" s="13" t="s">
        <v>317</v>
      </c>
      <c r="J30" s="13" t="s">
        <v>626</v>
      </c>
      <c r="K30" s="13" t="s">
        <v>626</v>
      </c>
      <c r="L30" s="13" t="s">
        <v>595</v>
      </c>
    </row>
    <row r="31" spans="1:12" ht="15.75" customHeight="1" x14ac:dyDescent="0.25">
      <c r="A31" s="13" t="s">
        <v>330</v>
      </c>
      <c r="B31" s="13" t="s">
        <v>312</v>
      </c>
      <c r="C31" s="13" t="s">
        <v>313</v>
      </c>
      <c r="D31" s="14" t="s">
        <v>587</v>
      </c>
      <c r="E31" s="13" t="s">
        <v>315</v>
      </c>
      <c r="F31" s="14">
        <v>5</v>
      </c>
      <c r="G31" s="14">
        <v>1</v>
      </c>
      <c r="H31" s="13" t="s">
        <v>316</v>
      </c>
      <c r="I31" s="13" t="s">
        <v>317</v>
      </c>
      <c r="J31" s="13" t="s">
        <v>603</v>
      </c>
      <c r="K31" s="13" t="s">
        <v>603</v>
      </c>
      <c r="L31" s="13" t="s">
        <v>595</v>
      </c>
    </row>
    <row r="32" spans="1:12" ht="15.75" customHeight="1" x14ac:dyDescent="0.25">
      <c r="A32" s="13" t="s">
        <v>61</v>
      </c>
      <c r="B32" s="13" t="s">
        <v>312</v>
      </c>
      <c r="C32" s="13" t="s">
        <v>313</v>
      </c>
      <c r="D32" s="14" t="s">
        <v>587</v>
      </c>
      <c r="E32" s="13" t="s">
        <v>315</v>
      </c>
      <c r="F32" s="14">
        <v>5</v>
      </c>
      <c r="G32" s="14">
        <v>1</v>
      </c>
      <c r="H32" s="13" t="s">
        <v>316</v>
      </c>
      <c r="I32" s="13" t="s">
        <v>317</v>
      </c>
      <c r="J32" s="13" t="s">
        <v>627</v>
      </c>
      <c r="K32" s="13" t="s">
        <v>628</v>
      </c>
      <c r="L32" s="13" t="s">
        <v>590</v>
      </c>
    </row>
    <row r="33" spans="1:12" ht="15.75" customHeight="1" x14ac:dyDescent="0.25">
      <c r="A33" s="13" t="s">
        <v>350</v>
      </c>
      <c r="B33" s="13" t="s">
        <v>312</v>
      </c>
      <c r="C33" s="13" t="s">
        <v>313</v>
      </c>
      <c r="D33" s="14" t="s">
        <v>587</v>
      </c>
      <c r="E33" s="13" t="s">
        <v>315</v>
      </c>
      <c r="F33" s="14">
        <v>5</v>
      </c>
      <c r="G33" s="14">
        <v>1</v>
      </c>
      <c r="H33" s="13" t="s">
        <v>316</v>
      </c>
      <c r="I33" s="13" t="s">
        <v>317</v>
      </c>
      <c r="J33" s="13" t="s">
        <v>629</v>
      </c>
      <c r="K33" s="13" t="s">
        <v>629</v>
      </c>
      <c r="L33" s="13" t="s">
        <v>595</v>
      </c>
    </row>
    <row r="34" spans="1:12" ht="15.75" customHeight="1" x14ac:dyDescent="0.25">
      <c r="A34" s="13" t="s">
        <v>359</v>
      </c>
      <c r="B34" s="13" t="s">
        <v>312</v>
      </c>
      <c r="C34" s="13" t="s">
        <v>313</v>
      </c>
      <c r="D34" s="14" t="s">
        <v>587</v>
      </c>
      <c r="E34" s="13" t="s">
        <v>315</v>
      </c>
      <c r="F34" s="14">
        <v>5</v>
      </c>
      <c r="G34" s="14">
        <v>1</v>
      </c>
      <c r="H34" s="13" t="s">
        <v>316</v>
      </c>
      <c r="I34" s="13" t="s">
        <v>317</v>
      </c>
      <c r="J34" s="13" t="s">
        <v>630</v>
      </c>
      <c r="K34" s="13" t="s">
        <v>630</v>
      </c>
      <c r="L34" s="13" t="s">
        <v>595</v>
      </c>
    </row>
    <row r="35" spans="1:12" ht="15.75" customHeight="1" x14ac:dyDescent="0.25">
      <c r="A35" s="13" t="s">
        <v>179</v>
      </c>
      <c r="B35" s="13" t="s">
        <v>312</v>
      </c>
      <c r="C35" s="13" t="s">
        <v>313</v>
      </c>
      <c r="D35" s="14" t="s">
        <v>587</v>
      </c>
      <c r="E35" s="13" t="s">
        <v>315</v>
      </c>
      <c r="F35" s="14">
        <v>5</v>
      </c>
      <c r="G35" s="14">
        <v>1</v>
      </c>
      <c r="H35" s="13" t="s">
        <v>316</v>
      </c>
      <c r="I35" s="13" t="s">
        <v>317</v>
      </c>
      <c r="J35" s="13" t="s">
        <v>631</v>
      </c>
      <c r="K35" s="13" t="s">
        <v>631</v>
      </c>
      <c r="L35" s="13" t="s">
        <v>595</v>
      </c>
    </row>
    <row r="36" spans="1:12" ht="15.75" customHeight="1" x14ac:dyDescent="0.25">
      <c r="A36" s="13" t="s">
        <v>185</v>
      </c>
      <c r="B36" s="13" t="s">
        <v>312</v>
      </c>
      <c r="C36" s="13" t="s">
        <v>313</v>
      </c>
      <c r="D36" s="14" t="s">
        <v>587</v>
      </c>
      <c r="E36" s="13" t="s">
        <v>315</v>
      </c>
      <c r="F36" s="14">
        <v>5</v>
      </c>
      <c r="G36" s="14">
        <v>1</v>
      </c>
      <c r="H36" s="13" t="s">
        <v>316</v>
      </c>
      <c r="I36" s="13" t="s">
        <v>317</v>
      </c>
      <c r="J36" s="13" t="s">
        <v>629</v>
      </c>
      <c r="K36" s="13" t="s">
        <v>629</v>
      </c>
      <c r="L36" s="13" t="s">
        <v>595</v>
      </c>
    </row>
    <row r="37" spans="1:12" ht="15" x14ac:dyDescent="0.25">
      <c r="A37" s="13" t="s">
        <v>362</v>
      </c>
      <c r="B37" s="13" t="s">
        <v>312</v>
      </c>
      <c r="C37" s="13" t="s">
        <v>313</v>
      </c>
      <c r="D37" s="14" t="s">
        <v>587</v>
      </c>
      <c r="E37" s="13" t="s">
        <v>315</v>
      </c>
      <c r="F37" s="14">
        <v>5</v>
      </c>
      <c r="G37" s="14">
        <v>1</v>
      </c>
      <c r="H37" s="13" t="s">
        <v>316</v>
      </c>
      <c r="I37" s="13" t="s">
        <v>317</v>
      </c>
      <c r="J37" s="13" t="s">
        <v>627</v>
      </c>
      <c r="K37" s="13" t="s">
        <v>632</v>
      </c>
      <c r="L37" s="13" t="s">
        <v>593</v>
      </c>
    </row>
    <row r="38" spans="1:12" ht="15" x14ac:dyDescent="0.25">
      <c r="A38" s="13" t="s">
        <v>131</v>
      </c>
      <c r="B38" s="13" t="s">
        <v>312</v>
      </c>
      <c r="C38" s="13" t="s">
        <v>313</v>
      </c>
      <c r="D38" s="14" t="s">
        <v>587</v>
      </c>
      <c r="E38" s="13" t="s">
        <v>315</v>
      </c>
      <c r="F38" s="14">
        <v>5</v>
      </c>
      <c r="G38" s="14">
        <v>1</v>
      </c>
      <c r="H38" s="13" t="s">
        <v>316</v>
      </c>
      <c r="I38" s="13" t="s">
        <v>317</v>
      </c>
      <c r="J38" s="13" t="s">
        <v>633</v>
      </c>
      <c r="K38" s="13" t="s">
        <v>634</v>
      </c>
      <c r="L38" s="13" t="s">
        <v>590</v>
      </c>
    </row>
    <row r="39" spans="1:12" ht="15" x14ac:dyDescent="0.25">
      <c r="A39" s="13" t="s">
        <v>476</v>
      </c>
      <c r="B39" s="13" t="s">
        <v>312</v>
      </c>
      <c r="C39" s="13" t="s">
        <v>313</v>
      </c>
      <c r="D39" s="14" t="s">
        <v>587</v>
      </c>
      <c r="E39" s="13" t="s">
        <v>315</v>
      </c>
      <c r="F39" s="14">
        <v>5</v>
      </c>
      <c r="G39" s="14">
        <v>1</v>
      </c>
      <c r="H39" s="13" t="s">
        <v>316</v>
      </c>
      <c r="I39" s="13" t="s">
        <v>317</v>
      </c>
      <c r="J39" s="13" t="s">
        <v>594</v>
      </c>
      <c r="K39" s="13" t="s">
        <v>635</v>
      </c>
      <c r="L39" s="13" t="s">
        <v>590</v>
      </c>
    </row>
    <row r="40" spans="1:12" ht="15" x14ac:dyDescent="0.25">
      <c r="A40" s="13" t="s">
        <v>421</v>
      </c>
      <c r="B40" s="13" t="s">
        <v>312</v>
      </c>
      <c r="C40" s="13" t="s">
        <v>313</v>
      </c>
      <c r="D40" s="14" t="s">
        <v>587</v>
      </c>
      <c r="E40" s="13" t="s">
        <v>315</v>
      </c>
      <c r="F40" s="14">
        <v>5</v>
      </c>
      <c r="G40" s="14">
        <v>1</v>
      </c>
      <c r="H40" s="13" t="s">
        <v>316</v>
      </c>
      <c r="I40" s="13" t="s">
        <v>317</v>
      </c>
      <c r="J40" s="13" t="s">
        <v>610</v>
      </c>
      <c r="K40" s="13" t="s">
        <v>610</v>
      </c>
      <c r="L40" s="13" t="s">
        <v>595</v>
      </c>
    </row>
    <row r="41" spans="1:12" ht="15" x14ac:dyDescent="0.25">
      <c r="A41" s="13" t="s">
        <v>385</v>
      </c>
      <c r="B41" s="13" t="s">
        <v>312</v>
      </c>
      <c r="C41" s="13" t="s">
        <v>313</v>
      </c>
      <c r="D41" s="14" t="s">
        <v>587</v>
      </c>
      <c r="E41" s="13" t="s">
        <v>315</v>
      </c>
      <c r="F41" s="14">
        <v>5</v>
      </c>
      <c r="G41" s="14">
        <v>1</v>
      </c>
      <c r="H41" s="13" t="s">
        <v>316</v>
      </c>
      <c r="I41" s="13" t="s">
        <v>317</v>
      </c>
      <c r="J41" s="13" t="s">
        <v>633</v>
      </c>
      <c r="K41" s="13" t="s">
        <v>633</v>
      </c>
      <c r="L41" s="13" t="s">
        <v>595</v>
      </c>
    </row>
    <row r="42" spans="1:12" ht="15" x14ac:dyDescent="0.25">
      <c r="A42" s="13" t="s">
        <v>636</v>
      </c>
      <c r="B42" s="13" t="s">
        <v>312</v>
      </c>
      <c r="C42" s="13" t="s">
        <v>313</v>
      </c>
      <c r="D42" s="14" t="s">
        <v>587</v>
      </c>
      <c r="E42" s="13" t="s">
        <v>315</v>
      </c>
      <c r="F42" s="14">
        <v>5</v>
      </c>
      <c r="G42" s="14">
        <v>1</v>
      </c>
      <c r="H42" s="13" t="s">
        <v>316</v>
      </c>
      <c r="I42" s="13" t="s">
        <v>317</v>
      </c>
      <c r="J42" s="13" t="s">
        <v>637</v>
      </c>
      <c r="K42" s="13" t="s">
        <v>638</v>
      </c>
      <c r="L42" s="13" t="s">
        <v>590</v>
      </c>
    </row>
    <row r="43" spans="1:12" ht="15" x14ac:dyDescent="0.25">
      <c r="A43" s="13" t="s">
        <v>536</v>
      </c>
      <c r="B43" s="13" t="s">
        <v>312</v>
      </c>
      <c r="C43" s="13" t="s">
        <v>313</v>
      </c>
      <c r="D43" s="14" t="s">
        <v>587</v>
      </c>
      <c r="E43" s="13" t="s">
        <v>315</v>
      </c>
      <c r="F43" s="14">
        <v>5</v>
      </c>
      <c r="G43" s="14">
        <v>1</v>
      </c>
      <c r="H43" s="13" t="s">
        <v>316</v>
      </c>
      <c r="I43" s="13" t="s">
        <v>317</v>
      </c>
      <c r="J43" s="13" t="s">
        <v>610</v>
      </c>
      <c r="K43" s="13" t="s">
        <v>591</v>
      </c>
      <c r="L43" s="13" t="s">
        <v>593</v>
      </c>
    </row>
    <row r="44" spans="1:12" ht="15" x14ac:dyDescent="0.25">
      <c r="A44" s="13" t="s">
        <v>390</v>
      </c>
      <c r="B44" s="13" t="s">
        <v>312</v>
      </c>
      <c r="C44" s="13" t="s">
        <v>313</v>
      </c>
      <c r="D44" s="14" t="s">
        <v>587</v>
      </c>
      <c r="E44" s="13" t="s">
        <v>315</v>
      </c>
      <c r="F44" s="14">
        <v>5</v>
      </c>
      <c r="G44" s="14">
        <v>1</v>
      </c>
      <c r="H44" s="13" t="s">
        <v>316</v>
      </c>
      <c r="I44" s="13" t="s">
        <v>317</v>
      </c>
      <c r="J44" s="13" t="s">
        <v>639</v>
      </c>
      <c r="K44" s="13" t="s">
        <v>640</v>
      </c>
      <c r="L44" s="13" t="s">
        <v>595</v>
      </c>
    </row>
    <row r="45" spans="1:12" ht="15" x14ac:dyDescent="0.25">
      <c r="A45" s="13" t="s">
        <v>92</v>
      </c>
      <c r="B45" s="13" t="s">
        <v>312</v>
      </c>
      <c r="C45" s="13" t="s">
        <v>313</v>
      </c>
      <c r="D45" s="14" t="s">
        <v>587</v>
      </c>
      <c r="E45" s="13" t="s">
        <v>315</v>
      </c>
      <c r="F45" s="14">
        <v>5</v>
      </c>
      <c r="G45" s="14">
        <v>1</v>
      </c>
      <c r="H45" s="13" t="s">
        <v>316</v>
      </c>
      <c r="I45" s="13" t="s">
        <v>317</v>
      </c>
      <c r="J45" s="13" t="s">
        <v>641</v>
      </c>
      <c r="K45" s="13" t="s">
        <v>641</v>
      </c>
      <c r="L45" s="13" t="s">
        <v>595</v>
      </c>
    </row>
    <row r="46" spans="1:12" ht="15" x14ac:dyDescent="0.25">
      <c r="A46" s="13" t="s">
        <v>376</v>
      </c>
      <c r="B46" s="13" t="s">
        <v>312</v>
      </c>
      <c r="C46" s="13" t="s">
        <v>313</v>
      </c>
      <c r="D46" s="14" t="s">
        <v>587</v>
      </c>
      <c r="E46" s="13" t="s">
        <v>315</v>
      </c>
      <c r="F46" s="14">
        <v>5</v>
      </c>
      <c r="G46" s="14">
        <v>1</v>
      </c>
      <c r="H46" s="13" t="s">
        <v>316</v>
      </c>
      <c r="I46" s="13" t="s">
        <v>317</v>
      </c>
      <c r="J46" s="13" t="s">
        <v>642</v>
      </c>
      <c r="K46" s="13" t="s">
        <v>643</v>
      </c>
      <c r="L46" s="13" t="s">
        <v>590</v>
      </c>
    </row>
    <row r="47" spans="1:12" ht="15" x14ac:dyDescent="0.25">
      <c r="A47" s="13" t="s">
        <v>432</v>
      </c>
      <c r="B47" s="13" t="s">
        <v>312</v>
      </c>
      <c r="C47" s="13" t="s">
        <v>313</v>
      </c>
      <c r="D47" s="14" t="s">
        <v>587</v>
      </c>
      <c r="E47" s="13" t="s">
        <v>315</v>
      </c>
      <c r="F47" s="14">
        <v>5</v>
      </c>
      <c r="G47" s="14">
        <v>1</v>
      </c>
      <c r="H47" s="13" t="s">
        <v>316</v>
      </c>
      <c r="I47" s="13" t="s">
        <v>317</v>
      </c>
      <c r="J47" s="13" t="s">
        <v>591</v>
      </c>
      <c r="K47" s="13" t="s">
        <v>591</v>
      </c>
      <c r="L47" s="13" t="s">
        <v>595</v>
      </c>
    </row>
    <row r="48" spans="1:12" ht="15" x14ac:dyDescent="0.25">
      <c r="A48" s="13" t="s">
        <v>437</v>
      </c>
      <c r="B48" s="13" t="s">
        <v>312</v>
      </c>
      <c r="C48" s="13" t="s">
        <v>313</v>
      </c>
      <c r="D48" s="14" t="s">
        <v>587</v>
      </c>
      <c r="E48" s="13" t="s">
        <v>315</v>
      </c>
      <c r="F48" s="14">
        <v>5</v>
      </c>
      <c r="G48" s="14">
        <v>1</v>
      </c>
      <c r="H48" s="13" t="s">
        <v>316</v>
      </c>
      <c r="I48" s="13" t="s">
        <v>317</v>
      </c>
      <c r="J48" s="13" t="s">
        <v>644</v>
      </c>
      <c r="K48" s="13" t="s">
        <v>644</v>
      </c>
      <c r="L48" s="13" t="s">
        <v>595</v>
      </c>
    </row>
    <row r="49" spans="1:12" ht="15" x14ac:dyDescent="0.25">
      <c r="A49" s="13" t="s">
        <v>473</v>
      </c>
      <c r="B49" s="13" t="s">
        <v>312</v>
      </c>
      <c r="C49" s="13" t="s">
        <v>313</v>
      </c>
      <c r="D49" s="14" t="s">
        <v>587</v>
      </c>
      <c r="E49" s="13" t="s">
        <v>315</v>
      </c>
      <c r="F49" s="14">
        <v>5</v>
      </c>
      <c r="G49" s="14">
        <v>1</v>
      </c>
      <c r="H49" s="13" t="s">
        <v>316</v>
      </c>
      <c r="I49" s="13" t="s">
        <v>317</v>
      </c>
      <c r="J49" s="13" t="s">
        <v>645</v>
      </c>
      <c r="K49" s="13" t="s">
        <v>646</v>
      </c>
      <c r="L49" s="13" t="s">
        <v>593</v>
      </c>
    </row>
    <row r="50" spans="1:12" ht="15" x14ac:dyDescent="0.25">
      <c r="A50" s="13" t="s">
        <v>443</v>
      </c>
      <c r="B50" s="13" t="s">
        <v>312</v>
      </c>
      <c r="C50" s="13" t="s">
        <v>313</v>
      </c>
      <c r="D50" s="14" t="s">
        <v>587</v>
      </c>
      <c r="E50" s="13" t="s">
        <v>315</v>
      </c>
      <c r="F50" s="14">
        <v>5</v>
      </c>
      <c r="G50" s="14">
        <v>1</v>
      </c>
      <c r="H50" s="13" t="s">
        <v>316</v>
      </c>
      <c r="I50" s="13" t="s">
        <v>317</v>
      </c>
      <c r="J50" s="13" t="s">
        <v>647</v>
      </c>
      <c r="K50" s="13" t="s">
        <v>648</v>
      </c>
      <c r="L50" s="13" t="s">
        <v>593</v>
      </c>
    </row>
    <row r="51" spans="1:12" ht="15" x14ac:dyDescent="0.25">
      <c r="A51" s="13" t="s">
        <v>516</v>
      </c>
      <c r="B51" s="13" t="s">
        <v>312</v>
      </c>
      <c r="C51" s="13" t="s">
        <v>313</v>
      </c>
      <c r="D51" s="14" t="s">
        <v>587</v>
      </c>
      <c r="E51" s="13" t="s">
        <v>315</v>
      </c>
      <c r="F51" s="14">
        <v>5</v>
      </c>
      <c r="G51" s="14">
        <v>1</v>
      </c>
      <c r="H51" s="13" t="s">
        <v>316</v>
      </c>
      <c r="I51" s="13" t="s">
        <v>317</v>
      </c>
      <c r="J51" s="13" t="s">
        <v>649</v>
      </c>
      <c r="K51" s="13" t="s">
        <v>649</v>
      </c>
      <c r="L51" s="13" t="s">
        <v>595</v>
      </c>
    </row>
    <row r="52" spans="1:12" ht="15" x14ac:dyDescent="0.25">
      <c r="A52" s="13" t="s">
        <v>452</v>
      </c>
      <c r="B52" s="13" t="s">
        <v>312</v>
      </c>
      <c r="C52" s="13" t="s">
        <v>313</v>
      </c>
      <c r="D52" s="14" t="s">
        <v>587</v>
      </c>
      <c r="E52" s="13" t="s">
        <v>315</v>
      </c>
      <c r="F52" s="14">
        <v>5</v>
      </c>
      <c r="G52" s="14">
        <v>1</v>
      </c>
      <c r="H52" s="13" t="s">
        <v>316</v>
      </c>
      <c r="I52" s="13" t="s">
        <v>317</v>
      </c>
      <c r="J52" s="13" t="s">
        <v>621</v>
      </c>
      <c r="K52" s="13" t="s">
        <v>621</v>
      </c>
      <c r="L52" s="13" t="s">
        <v>595</v>
      </c>
    </row>
    <row r="53" spans="1:12" ht="15" x14ac:dyDescent="0.25">
      <c r="A53" s="13" t="s">
        <v>496</v>
      </c>
      <c r="B53" s="13" t="s">
        <v>312</v>
      </c>
      <c r="C53" s="13" t="s">
        <v>313</v>
      </c>
      <c r="D53" s="14" t="s">
        <v>587</v>
      </c>
      <c r="E53" s="13" t="s">
        <v>315</v>
      </c>
      <c r="F53" s="14">
        <v>5</v>
      </c>
      <c r="G53" s="14">
        <v>1</v>
      </c>
      <c r="H53" s="13" t="s">
        <v>316</v>
      </c>
      <c r="I53" s="13" t="s">
        <v>317</v>
      </c>
      <c r="J53" s="13" t="s">
        <v>600</v>
      </c>
      <c r="K53" s="13" t="s">
        <v>650</v>
      </c>
      <c r="L53" s="13" t="s">
        <v>590</v>
      </c>
    </row>
    <row r="54" spans="1:12" ht="15" x14ac:dyDescent="0.25">
      <c r="A54" s="13" t="s">
        <v>406</v>
      </c>
      <c r="B54" s="13" t="s">
        <v>312</v>
      </c>
      <c r="C54" s="13" t="s">
        <v>313</v>
      </c>
      <c r="D54" s="14" t="s">
        <v>587</v>
      </c>
      <c r="E54" s="13" t="s">
        <v>315</v>
      </c>
      <c r="F54" s="14">
        <v>5</v>
      </c>
      <c r="G54" s="14">
        <v>1</v>
      </c>
      <c r="H54" s="13" t="s">
        <v>316</v>
      </c>
      <c r="I54" s="13" t="s">
        <v>317</v>
      </c>
      <c r="J54" s="13" t="s">
        <v>649</v>
      </c>
      <c r="K54" s="13" t="s">
        <v>649</v>
      </c>
      <c r="L54" s="13" t="s">
        <v>595</v>
      </c>
    </row>
    <row r="55" spans="1:12" ht="15" x14ac:dyDescent="0.25">
      <c r="A55" s="13" t="s">
        <v>144</v>
      </c>
      <c r="B55" s="13" t="s">
        <v>312</v>
      </c>
      <c r="C55" s="13" t="s">
        <v>313</v>
      </c>
      <c r="D55" s="14" t="s">
        <v>587</v>
      </c>
      <c r="E55" s="13" t="s">
        <v>315</v>
      </c>
      <c r="F55" s="14">
        <v>5</v>
      </c>
      <c r="G55" s="14">
        <v>1</v>
      </c>
      <c r="H55" s="13" t="s">
        <v>316</v>
      </c>
      <c r="I55" s="13" t="s">
        <v>317</v>
      </c>
      <c r="J55" s="13" t="s">
        <v>627</v>
      </c>
      <c r="K55" s="13" t="s">
        <v>651</v>
      </c>
      <c r="L55" s="13" t="s">
        <v>593</v>
      </c>
    </row>
    <row r="56" spans="1:12" ht="15" x14ac:dyDescent="0.25">
      <c r="A56" s="13" t="s">
        <v>440</v>
      </c>
      <c r="B56" s="13" t="s">
        <v>312</v>
      </c>
      <c r="C56" s="13" t="s">
        <v>313</v>
      </c>
      <c r="D56" s="14" t="s">
        <v>587</v>
      </c>
      <c r="E56" s="13" t="s">
        <v>315</v>
      </c>
      <c r="F56" s="14">
        <v>5</v>
      </c>
      <c r="G56" s="14">
        <v>1</v>
      </c>
      <c r="H56" s="13" t="s">
        <v>316</v>
      </c>
      <c r="I56" s="13" t="s">
        <v>317</v>
      </c>
      <c r="J56" s="13" t="s">
        <v>652</v>
      </c>
      <c r="K56" s="13" t="s">
        <v>653</v>
      </c>
      <c r="L56" s="13" t="s">
        <v>593</v>
      </c>
    </row>
    <row r="57" spans="1:12" ht="15" x14ac:dyDescent="0.25">
      <c r="A57" s="13" t="s">
        <v>522</v>
      </c>
      <c r="B57" s="13" t="s">
        <v>312</v>
      </c>
      <c r="C57" s="13" t="s">
        <v>313</v>
      </c>
      <c r="D57" s="14" t="s">
        <v>587</v>
      </c>
      <c r="E57" s="13" t="s">
        <v>315</v>
      </c>
      <c r="F57" s="14">
        <v>5</v>
      </c>
      <c r="G57" s="14">
        <v>1</v>
      </c>
      <c r="H57" s="13" t="s">
        <v>316</v>
      </c>
      <c r="I57" s="13" t="s">
        <v>317</v>
      </c>
      <c r="J57" s="13" t="s">
        <v>654</v>
      </c>
      <c r="K57" s="13" t="s">
        <v>655</v>
      </c>
      <c r="L57" s="13" t="s">
        <v>593</v>
      </c>
    </row>
    <row r="58" spans="1:12" ht="15" x14ac:dyDescent="0.25">
      <c r="A58" s="13" t="s">
        <v>252</v>
      </c>
      <c r="B58" s="13" t="s">
        <v>312</v>
      </c>
      <c r="C58" s="13" t="s">
        <v>313</v>
      </c>
      <c r="D58" s="14" t="s">
        <v>587</v>
      </c>
      <c r="E58" s="13" t="s">
        <v>315</v>
      </c>
      <c r="F58" s="14">
        <v>5</v>
      </c>
      <c r="G58" s="14">
        <v>1</v>
      </c>
      <c r="H58" s="13" t="s">
        <v>316</v>
      </c>
      <c r="I58" s="13" t="s">
        <v>317</v>
      </c>
      <c r="J58" s="13" t="s">
        <v>591</v>
      </c>
      <c r="K58" s="13" t="s">
        <v>656</v>
      </c>
      <c r="L58" s="13" t="s">
        <v>657</v>
      </c>
    </row>
    <row r="59" spans="1:12" ht="15" x14ac:dyDescent="0.25">
      <c r="A59" s="13" t="s">
        <v>565</v>
      </c>
      <c r="B59" s="13" t="s">
        <v>312</v>
      </c>
      <c r="C59" s="13" t="s">
        <v>313</v>
      </c>
      <c r="D59" s="14" t="s">
        <v>587</v>
      </c>
      <c r="E59" s="13" t="s">
        <v>315</v>
      </c>
      <c r="F59" s="14">
        <v>5</v>
      </c>
      <c r="G59" s="14">
        <v>1</v>
      </c>
      <c r="H59" s="13" t="s">
        <v>316</v>
      </c>
      <c r="I59" s="13" t="s">
        <v>317</v>
      </c>
      <c r="J59" s="13" t="s">
        <v>649</v>
      </c>
      <c r="K59" s="13" t="s">
        <v>649</v>
      </c>
      <c r="L59" s="13" t="s">
        <v>595</v>
      </c>
    </row>
    <row r="60" spans="1:12" ht="15" x14ac:dyDescent="0.25">
      <c r="A60" s="13" t="s">
        <v>429</v>
      </c>
      <c r="B60" s="13" t="s">
        <v>312</v>
      </c>
      <c r="C60" s="13" t="s">
        <v>313</v>
      </c>
      <c r="D60" s="14" t="s">
        <v>587</v>
      </c>
      <c r="E60" s="13" t="s">
        <v>315</v>
      </c>
      <c r="F60" s="14">
        <v>5</v>
      </c>
      <c r="G60" s="14">
        <v>1</v>
      </c>
      <c r="H60" s="13" t="s">
        <v>316</v>
      </c>
      <c r="I60" s="13" t="s">
        <v>317</v>
      </c>
      <c r="J60" s="13" t="s">
        <v>658</v>
      </c>
      <c r="K60" s="13" t="s">
        <v>659</v>
      </c>
      <c r="L60" s="13" t="s">
        <v>657</v>
      </c>
    </row>
    <row r="61" spans="1:12" ht="15" x14ac:dyDescent="0.25">
      <c r="A61" s="13" t="s">
        <v>416</v>
      </c>
      <c r="B61" s="13" t="s">
        <v>312</v>
      </c>
      <c r="C61" s="13" t="s">
        <v>313</v>
      </c>
      <c r="D61" s="14" t="s">
        <v>587</v>
      </c>
      <c r="E61" s="13" t="s">
        <v>315</v>
      </c>
      <c r="F61" s="14">
        <v>5</v>
      </c>
      <c r="G61" s="14">
        <v>1</v>
      </c>
      <c r="H61" s="13" t="s">
        <v>316</v>
      </c>
      <c r="I61" s="13" t="s">
        <v>317</v>
      </c>
      <c r="J61" s="13" t="s">
        <v>591</v>
      </c>
      <c r="K61" s="13" t="s">
        <v>591</v>
      </c>
      <c r="L61" s="13" t="s">
        <v>595</v>
      </c>
    </row>
    <row r="62" spans="1:12" ht="15" x14ac:dyDescent="0.25">
      <c r="A62" s="13" t="s">
        <v>164</v>
      </c>
      <c r="B62" s="13" t="s">
        <v>312</v>
      </c>
      <c r="C62" s="13" t="s">
        <v>313</v>
      </c>
      <c r="D62" s="14" t="s">
        <v>587</v>
      </c>
      <c r="E62" s="13" t="s">
        <v>315</v>
      </c>
      <c r="F62" s="14">
        <v>5</v>
      </c>
      <c r="G62" s="14">
        <v>1</v>
      </c>
      <c r="H62" s="13" t="s">
        <v>316</v>
      </c>
      <c r="I62" s="13" t="s">
        <v>317</v>
      </c>
      <c r="J62" s="13" t="s">
        <v>614</v>
      </c>
      <c r="K62" s="13" t="s">
        <v>609</v>
      </c>
      <c r="L62" s="13" t="s">
        <v>593</v>
      </c>
    </row>
    <row r="63" spans="1:12" ht="15" x14ac:dyDescent="0.25">
      <c r="A63" s="13" t="s">
        <v>250</v>
      </c>
      <c r="B63" s="13" t="s">
        <v>312</v>
      </c>
      <c r="C63" s="13" t="s">
        <v>313</v>
      </c>
      <c r="D63" s="14" t="s">
        <v>587</v>
      </c>
      <c r="E63" s="13" t="s">
        <v>315</v>
      </c>
      <c r="F63" s="14">
        <v>5</v>
      </c>
      <c r="G63" s="14">
        <v>1</v>
      </c>
      <c r="H63" s="13" t="s">
        <v>316</v>
      </c>
      <c r="I63" s="13" t="s">
        <v>317</v>
      </c>
      <c r="J63" s="13" t="s">
        <v>591</v>
      </c>
      <c r="K63" s="13" t="s">
        <v>656</v>
      </c>
      <c r="L63" s="13" t="s">
        <v>657</v>
      </c>
    </row>
    <row r="64" spans="1:12" ht="15" x14ac:dyDescent="0.25">
      <c r="A64" s="13" t="s">
        <v>192</v>
      </c>
      <c r="B64" s="13" t="s">
        <v>312</v>
      </c>
      <c r="C64" s="13" t="s">
        <v>313</v>
      </c>
      <c r="D64" s="14" t="s">
        <v>587</v>
      </c>
      <c r="E64" s="13" t="s">
        <v>315</v>
      </c>
      <c r="F64" s="14">
        <v>5</v>
      </c>
      <c r="G64" s="14">
        <v>1</v>
      </c>
      <c r="H64" s="13" t="s">
        <v>316</v>
      </c>
      <c r="I64" s="13" t="s">
        <v>317</v>
      </c>
      <c r="J64" s="13" t="s">
        <v>603</v>
      </c>
      <c r="K64" s="13" t="s">
        <v>603</v>
      </c>
      <c r="L64" s="13" t="s">
        <v>595</v>
      </c>
    </row>
    <row r="65" spans="1:12" ht="15" x14ac:dyDescent="0.25">
      <c r="A65" s="13" t="s">
        <v>446</v>
      </c>
      <c r="B65" s="13" t="s">
        <v>312</v>
      </c>
      <c r="C65" s="13" t="s">
        <v>313</v>
      </c>
      <c r="D65" s="14" t="s">
        <v>587</v>
      </c>
      <c r="E65" s="13" t="s">
        <v>315</v>
      </c>
      <c r="F65" s="14">
        <v>5</v>
      </c>
      <c r="G65" s="14">
        <v>1</v>
      </c>
      <c r="H65" s="13" t="s">
        <v>316</v>
      </c>
      <c r="I65" s="13" t="s">
        <v>317</v>
      </c>
      <c r="J65" s="13" t="s">
        <v>649</v>
      </c>
      <c r="K65" s="13" t="s">
        <v>649</v>
      </c>
      <c r="L65" s="13" t="s">
        <v>595</v>
      </c>
    </row>
    <row r="66" spans="1:12" ht="15" x14ac:dyDescent="0.25">
      <c r="A66" s="13" t="s">
        <v>449</v>
      </c>
      <c r="B66" s="13" t="s">
        <v>312</v>
      </c>
      <c r="C66" s="13" t="s">
        <v>313</v>
      </c>
      <c r="D66" s="14" t="s">
        <v>587</v>
      </c>
      <c r="E66" s="13" t="s">
        <v>315</v>
      </c>
      <c r="F66" s="14">
        <v>5</v>
      </c>
      <c r="G66" s="14">
        <v>1</v>
      </c>
      <c r="H66" s="13" t="s">
        <v>316</v>
      </c>
      <c r="I66" s="13" t="s">
        <v>317</v>
      </c>
      <c r="J66" s="13" t="s">
        <v>621</v>
      </c>
      <c r="K66" s="13" t="s">
        <v>621</v>
      </c>
      <c r="L66" s="13" t="s">
        <v>595</v>
      </c>
    </row>
    <row r="67" spans="1:12" ht="15" x14ac:dyDescent="0.25">
      <c r="A67" s="13" t="s">
        <v>562</v>
      </c>
      <c r="B67" s="13" t="s">
        <v>312</v>
      </c>
      <c r="C67" s="13" t="s">
        <v>313</v>
      </c>
      <c r="D67" s="14" t="s">
        <v>587</v>
      </c>
      <c r="E67" s="13" t="s">
        <v>315</v>
      </c>
      <c r="F67" s="14">
        <v>5</v>
      </c>
      <c r="G67" s="14">
        <v>1</v>
      </c>
      <c r="H67" s="13" t="s">
        <v>316</v>
      </c>
      <c r="I67" s="13" t="s">
        <v>317</v>
      </c>
      <c r="J67" s="13" t="s">
        <v>621</v>
      </c>
      <c r="K67" s="13" t="s">
        <v>621</v>
      </c>
      <c r="L67" s="13" t="s">
        <v>595</v>
      </c>
    </row>
    <row r="68" spans="1:12" ht="15" x14ac:dyDescent="0.25">
      <c r="A68" s="13" t="s">
        <v>411</v>
      </c>
      <c r="B68" s="13" t="s">
        <v>312</v>
      </c>
      <c r="C68" s="13" t="s">
        <v>313</v>
      </c>
      <c r="D68" s="14" t="s">
        <v>587</v>
      </c>
      <c r="E68" s="13" t="s">
        <v>315</v>
      </c>
      <c r="F68" s="14">
        <v>5</v>
      </c>
      <c r="G68" s="14">
        <v>1</v>
      </c>
      <c r="H68" s="13" t="s">
        <v>316</v>
      </c>
      <c r="I68" s="13" t="s">
        <v>317</v>
      </c>
      <c r="J68" s="13" t="s">
        <v>621</v>
      </c>
      <c r="K68" s="13" t="s">
        <v>621</v>
      </c>
      <c r="L68" s="13" t="s">
        <v>595</v>
      </c>
    </row>
    <row r="69" spans="1:12" ht="15" x14ac:dyDescent="0.25">
      <c r="A69" s="13" t="s">
        <v>579</v>
      </c>
      <c r="B69" s="13" t="s">
        <v>312</v>
      </c>
      <c r="C69" s="13" t="s">
        <v>313</v>
      </c>
      <c r="D69" s="14" t="s">
        <v>587</v>
      </c>
      <c r="E69" s="13" t="s">
        <v>315</v>
      </c>
      <c r="F69" s="14">
        <v>5</v>
      </c>
      <c r="G69" s="14">
        <v>1</v>
      </c>
      <c r="H69" s="13" t="s">
        <v>316</v>
      </c>
      <c r="I69" s="13" t="s">
        <v>317</v>
      </c>
      <c r="J69" s="13" t="s">
        <v>616</v>
      </c>
      <c r="K69" s="13" t="s">
        <v>616</v>
      </c>
      <c r="L69" s="13" t="s">
        <v>595</v>
      </c>
    </row>
    <row r="70" spans="1:12" ht="15" x14ac:dyDescent="0.25">
      <c r="A70" s="13" t="s">
        <v>219</v>
      </c>
      <c r="B70" s="13" t="s">
        <v>312</v>
      </c>
      <c r="C70" s="13" t="s">
        <v>313</v>
      </c>
      <c r="D70" s="14" t="s">
        <v>587</v>
      </c>
      <c r="E70" s="13" t="s">
        <v>315</v>
      </c>
      <c r="F70" s="14">
        <v>5</v>
      </c>
      <c r="G70" s="14">
        <v>1</v>
      </c>
      <c r="H70" s="13" t="s">
        <v>316</v>
      </c>
      <c r="I70" s="13" t="s">
        <v>317</v>
      </c>
      <c r="J70" s="13" t="s">
        <v>660</v>
      </c>
      <c r="K70" s="13" t="s">
        <v>660</v>
      </c>
      <c r="L70" s="13" t="s">
        <v>595</v>
      </c>
    </row>
    <row r="71" spans="1:12" ht="15" x14ac:dyDescent="0.25">
      <c r="A71" s="13" t="s">
        <v>216</v>
      </c>
      <c r="B71" s="13" t="s">
        <v>312</v>
      </c>
      <c r="C71" s="13" t="s">
        <v>313</v>
      </c>
      <c r="D71" s="14" t="s">
        <v>587</v>
      </c>
      <c r="E71" s="13" t="s">
        <v>315</v>
      </c>
      <c r="F71" s="14">
        <v>5</v>
      </c>
      <c r="G71" s="14">
        <v>1</v>
      </c>
      <c r="H71" s="13" t="s">
        <v>316</v>
      </c>
      <c r="I71" s="13" t="s">
        <v>317</v>
      </c>
      <c r="J71" s="13" t="s">
        <v>594</v>
      </c>
      <c r="K71" s="13" t="s">
        <v>594</v>
      </c>
      <c r="L71" s="13" t="s">
        <v>595</v>
      </c>
    </row>
    <row r="72" spans="1:12" ht="15" x14ac:dyDescent="0.25">
      <c r="A72" s="13" t="s">
        <v>426</v>
      </c>
      <c r="B72" s="13" t="s">
        <v>312</v>
      </c>
      <c r="C72" s="13" t="s">
        <v>313</v>
      </c>
      <c r="D72" s="14" t="s">
        <v>587</v>
      </c>
      <c r="E72" s="13" t="s">
        <v>315</v>
      </c>
      <c r="F72" s="14">
        <v>5</v>
      </c>
      <c r="G72" s="14">
        <v>1</v>
      </c>
      <c r="H72" s="13" t="s">
        <v>316</v>
      </c>
      <c r="I72" s="13" t="s">
        <v>317</v>
      </c>
      <c r="J72" s="13" t="s">
        <v>661</v>
      </c>
      <c r="K72" s="13" t="s">
        <v>661</v>
      </c>
      <c r="L72" s="13" t="s">
        <v>595</v>
      </c>
    </row>
    <row r="73" spans="1:12" ht="15" x14ac:dyDescent="0.25">
      <c r="A73" s="13" t="s">
        <v>461</v>
      </c>
      <c r="B73" s="13" t="s">
        <v>312</v>
      </c>
      <c r="C73" s="13" t="s">
        <v>313</v>
      </c>
      <c r="D73" s="14" t="s">
        <v>587</v>
      </c>
      <c r="E73" s="13" t="s">
        <v>315</v>
      </c>
      <c r="F73" s="14">
        <v>5</v>
      </c>
      <c r="G73" s="14">
        <v>1</v>
      </c>
      <c r="H73" s="13" t="s">
        <v>316</v>
      </c>
      <c r="I73" s="13" t="s">
        <v>317</v>
      </c>
      <c r="J73" s="13" t="s">
        <v>621</v>
      </c>
      <c r="K73" s="13" t="s">
        <v>624</v>
      </c>
      <c r="L73" s="13" t="s">
        <v>590</v>
      </c>
    </row>
    <row r="74" spans="1:12" ht="15" x14ac:dyDescent="0.25">
      <c r="A74" s="13" t="s">
        <v>488</v>
      </c>
      <c r="B74" s="13" t="s">
        <v>312</v>
      </c>
      <c r="C74" s="13" t="s">
        <v>313</v>
      </c>
      <c r="D74" s="14" t="s">
        <v>587</v>
      </c>
      <c r="E74" s="13" t="s">
        <v>315</v>
      </c>
      <c r="F74" s="14">
        <v>5</v>
      </c>
      <c r="G74" s="14">
        <v>1</v>
      </c>
      <c r="H74" s="13" t="s">
        <v>316</v>
      </c>
      <c r="I74" s="13" t="s">
        <v>317</v>
      </c>
      <c r="J74" s="13" t="s">
        <v>662</v>
      </c>
      <c r="K74" s="13" t="s">
        <v>663</v>
      </c>
      <c r="L74" s="13" t="s">
        <v>657</v>
      </c>
    </row>
    <row r="75" spans="1:12" ht="15" x14ac:dyDescent="0.25">
      <c r="A75" s="13" t="s">
        <v>455</v>
      </c>
      <c r="B75" s="13" t="s">
        <v>312</v>
      </c>
      <c r="C75" s="13" t="s">
        <v>313</v>
      </c>
      <c r="D75" s="14" t="s">
        <v>587</v>
      </c>
      <c r="E75" s="13" t="s">
        <v>315</v>
      </c>
      <c r="F75" s="14">
        <v>5</v>
      </c>
      <c r="G75" s="14">
        <v>1</v>
      </c>
      <c r="H75" s="13" t="s">
        <v>316</v>
      </c>
      <c r="I75" s="13" t="s">
        <v>317</v>
      </c>
      <c r="J75" s="13" t="s">
        <v>664</v>
      </c>
      <c r="K75" s="13" t="s">
        <v>665</v>
      </c>
      <c r="L75" s="13" t="s">
        <v>595</v>
      </c>
    </row>
    <row r="76" spans="1:12" ht="15" x14ac:dyDescent="0.25">
      <c r="A76" s="13" t="s">
        <v>491</v>
      </c>
      <c r="B76" s="13" t="s">
        <v>312</v>
      </c>
      <c r="C76" s="13" t="s">
        <v>313</v>
      </c>
      <c r="D76" s="14" t="s">
        <v>587</v>
      </c>
      <c r="E76" s="13" t="s">
        <v>315</v>
      </c>
      <c r="F76" s="14">
        <v>5</v>
      </c>
      <c r="G76" s="14">
        <v>1</v>
      </c>
      <c r="H76" s="13" t="s">
        <v>316</v>
      </c>
      <c r="I76" s="13" t="s">
        <v>317</v>
      </c>
      <c r="J76" s="13" t="s">
        <v>649</v>
      </c>
      <c r="K76" s="13" t="s">
        <v>649</v>
      </c>
      <c r="L76" s="13" t="s">
        <v>595</v>
      </c>
    </row>
    <row r="77" spans="1:12" ht="15" x14ac:dyDescent="0.25">
      <c r="A77" s="13" t="s">
        <v>542</v>
      </c>
      <c r="B77" s="13" t="s">
        <v>312</v>
      </c>
      <c r="C77" s="13" t="s">
        <v>313</v>
      </c>
      <c r="D77" s="14" t="s">
        <v>587</v>
      </c>
      <c r="E77" s="13" t="s">
        <v>315</v>
      </c>
      <c r="F77" s="14">
        <v>5</v>
      </c>
      <c r="G77" s="14">
        <v>1</v>
      </c>
      <c r="H77" s="13" t="s">
        <v>316</v>
      </c>
      <c r="I77" s="13" t="s">
        <v>317</v>
      </c>
      <c r="J77" s="13" t="s">
        <v>631</v>
      </c>
      <c r="K77" s="13" t="s">
        <v>666</v>
      </c>
      <c r="L77" s="13" t="s">
        <v>595</v>
      </c>
    </row>
    <row r="78" spans="1:12" ht="15" x14ac:dyDescent="0.25">
      <c r="A78" s="13" t="s">
        <v>574</v>
      </c>
      <c r="B78" s="13" t="s">
        <v>312</v>
      </c>
      <c r="C78" s="13" t="s">
        <v>313</v>
      </c>
      <c r="D78" s="14" t="s">
        <v>587</v>
      </c>
      <c r="E78" s="13" t="s">
        <v>315</v>
      </c>
      <c r="F78" s="14">
        <v>5</v>
      </c>
      <c r="G78" s="14">
        <v>1</v>
      </c>
      <c r="H78" s="13" t="s">
        <v>316</v>
      </c>
      <c r="I78" s="13" t="s">
        <v>317</v>
      </c>
      <c r="J78" s="13" t="s">
        <v>588</v>
      </c>
      <c r="K78" s="13" t="s">
        <v>667</v>
      </c>
      <c r="L78" s="13" t="s">
        <v>593</v>
      </c>
    </row>
    <row r="79" spans="1:12" ht="15" x14ac:dyDescent="0.25">
      <c r="A79" s="13" t="s">
        <v>568</v>
      </c>
      <c r="B79" s="13" t="s">
        <v>312</v>
      </c>
      <c r="C79" s="13" t="s">
        <v>313</v>
      </c>
      <c r="D79" s="14" t="s">
        <v>587</v>
      </c>
      <c r="E79" s="13" t="s">
        <v>315</v>
      </c>
      <c r="F79" s="14">
        <v>5</v>
      </c>
      <c r="G79" s="14">
        <v>1</v>
      </c>
      <c r="H79" s="13" t="s">
        <v>316</v>
      </c>
      <c r="I79" s="13" t="s">
        <v>317</v>
      </c>
      <c r="J79" s="13" t="s">
        <v>668</v>
      </c>
      <c r="K79" s="13" t="s">
        <v>669</v>
      </c>
      <c r="L79" s="13" t="s">
        <v>595</v>
      </c>
    </row>
    <row r="80" spans="1:12" ht="15" x14ac:dyDescent="0.25">
      <c r="A80" s="13" t="s">
        <v>533</v>
      </c>
      <c r="B80" s="13" t="s">
        <v>312</v>
      </c>
      <c r="C80" s="13" t="s">
        <v>313</v>
      </c>
      <c r="D80" s="14" t="s">
        <v>587</v>
      </c>
      <c r="E80" s="13" t="s">
        <v>315</v>
      </c>
      <c r="F80" s="14">
        <v>5</v>
      </c>
      <c r="G80" s="14">
        <v>1</v>
      </c>
      <c r="H80" s="13" t="s">
        <v>316</v>
      </c>
      <c r="I80" s="13" t="s">
        <v>317</v>
      </c>
      <c r="J80" s="13" t="s">
        <v>591</v>
      </c>
      <c r="K80" s="13" t="s">
        <v>592</v>
      </c>
      <c r="L80" s="13" t="s">
        <v>593</v>
      </c>
    </row>
    <row r="81" spans="1:12" ht="15" x14ac:dyDescent="0.25">
      <c r="A81" s="13" t="s">
        <v>458</v>
      </c>
      <c r="B81" s="13" t="s">
        <v>312</v>
      </c>
      <c r="C81" s="13" t="s">
        <v>313</v>
      </c>
      <c r="D81" s="14" t="s">
        <v>587</v>
      </c>
      <c r="E81" s="13" t="s">
        <v>315</v>
      </c>
      <c r="F81" s="14">
        <v>5</v>
      </c>
      <c r="G81" s="14">
        <v>1</v>
      </c>
      <c r="H81" s="13" t="s">
        <v>316</v>
      </c>
      <c r="I81" s="13" t="s">
        <v>317</v>
      </c>
      <c r="J81" s="13" t="s">
        <v>670</v>
      </c>
      <c r="K81" s="13" t="s">
        <v>670</v>
      </c>
      <c r="L81" s="13" t="s">
        <v>595</v>
      </c>
    </row>
    <row r="82" spans="1:12" ht="15" x14ac:dyDescent="0.25">
      <c r="A82" s="13" t="s">
        <v>483</v>
      </c>
      <c r="B82" s="13" t="s">
        <v>312</v>
      </c>
      <c r="C82" s="13" t="s">
        <v>313</v>
      </c>
      <c r="D82" s="14" t="s">
        <v>587</v>
      </c>
      <c r="E82" s="13" t="s">
        <v>315</v>
      </c>
      <c r="F82" s="14">
        <v>5</v>
      </c>
      <c r="G82" s="14">
        <v>1</v>
      </c>
      <c r="H82" s="13" t="s">
        <v>316</v>
      </c>
      <c r="I82" s="13" t="s">
        <v>317</v>
      </c>
      <c r="J82" s="13" t="s">
        <v>671</v>
      </c>
      <c r="K82" s="13" t="s">
        <v>671</v>
      </c>
      <c r="L82" s="13" t="s">
        <v>595</v>
      </c>
    </row>
    <row r="83" spans="1:12" ht="15" x14ac:dyDescent="0.25">
      <c r="A83" s="13" t="s">
        <v>556</v>
      </c>
      <c r="B83" s="13" t="s">
        <v>312</v>
      </c>
      <c r="C83" s="13" t="s">
        <v>313</v>
      </c>
      <c r="D83" s="14" t="s">
        <v>587</v>
      </c>
      <c r="E83" s="13" t="s">
        <v>315</v>
      </c>
      <c r="F83" s="14">
        <v>5</v>
      </c>
      <c r="G83" s="14">
        <v>1</v>
      </c>
      <c r="H83" s="13" t="s">
        <v>316</v>
      </c>
      <c r="I83" s="13" t="s">
        <v>317</v>
      </c>
      <c r="J83" s="13" t="s">
        <v>646</v>
      </c>
      <c r="K83" s="13" t="s">
        <v>672</v>
      </c>
      <c r="L83" s="13" t="s">
        <v>593</v>
      </c>
    </row>
    <row r="84" spans="1:12" ht="15" x14ac:dyDescent="0.25">
      <c r="A84" s="13" t="s">
        <v>548</v>
      </c>
      <c r="B84" s="13" t="s">
        <v>312</v>
      </c>
      <c r="C84" s="13" t="s">
        <v>313</v>
      </c>
      <c r="D84" s="14" t="s">
        <v>587</v>
      </c>
      <c r="E84" s="13" t="s">
        <v>315</v>
      </c>
      <c r="F84" s="14">
        <v>5</v>
      </c>
      <c r="G84" s="14">
        <v>1</v>
      </c>
      <c r="H84" s="13" t="s">
        <v>316</v>
      </c>
      <c r="I84" s="13" t="s">
        <v>317</v>
      </c>
      <c r="J84" s="13" t="s">
        <v>633</v>
      </c>
      <c r="K84" s="13" t="s">
        <v>633</v>
      </c>
      <c r="L84" s="13" t="s">
        <v>595</v>
      </c>
    </row>
    <row r="85" spans="1:12" ht="15" x14ac:dyDescent="0.25">
      <c r="A85" s="13" t="s">
        <v>571</v>
      </c>
      <c r="B85" s="13" t="s">
        <v>312</v>
      </c>
      <c r="C85" s="13" t="s">
        <v>313</v>
      </c>
      <c r="D85" s="14" t="s">
        <v>587</v>
      </c>
      <c r="E85" s="13" t="s">
        <v>315</v>
      </c>
      <c r="F85" s="14">
        <v>5</v>
      </c>
      <c r="G85" s="14">
        <v>1</v>
      </c>
      <c r="H85" s="13" t="s">
        <v>316</v>
      </c>
      <c r="I85" s="13" t="s">
        <v>317</v>
      </c>
      <c r="J85" s="13" t="s">
        <v>673</v>
      </c>
      <c r="K85" s="13" t="s">
        <v>673</v>
      </c>
      <c r="L85" s="13" t="s">
        <v>595</v>
      </c>
    </row>
    <row r="86" spans="1:12" ht="15" x14ac:dyDescent="0.25">
      <c r="A86" s="13" t="s">
        <v>545</v>
      </c>
      <c r="B86" s="13" t="s">
        <v>312</v>
      </c>
      <c r="C86" s="13" t="s">
        <v>313</v>
      </c>
      <c r="D86" s="14" t="s">
        <v>587</v>
      </c>
      <c r="E86" s="13" t="s">
        <v>315</v>
      </c>
      <c r="F86" s="14">
        <v>5</v>
      </c>
      <c r="G86" s="14">
        <v>1</v>
      </c>
      <c r="H86" s="13" t="s">
        <v>316</v>
      </c>
      <c r="I86" s="13" t="s">
        <v>317</v>
      </c>
      <c r="J86" s="13" t="s">
        <v>614</v>
      </c>
      <c r="K86" s="13" t="s">
        <v>670</v>
      </c>
      <c r="L86" s="13" t="s">
        <v>593</v>
      </c>
    </row>
    <row r="87" spans="1:12" ht="15" x14ac:dyDescent="0.25">
      <c r="A87" s="13" t="s">
        <v>505</v>
      </c>
      <c r="B87" s="13" t="s">
        <v>312</v>
      </c>
      <c r="C87" s="13" t="s">
        <v>313</v>
      </c>
      <c r="D87" s="14" t="s">
        <v>587</v>
      </c>
      <c r="E87" s="13" t="s">
        <v>315</v>
      </c>
      <c r="F87" s="14">
        <v>5</v>
      </c>
      <c r="G87" s="14">
        <v>1</v>
      </c>
      <c r="H87" s="13" t="s">
        <v>316</v>
      </c>
      <c r="I87" s="13" t="s">
        <v>317</v>
      </c>
      <c r="J87" s="13" t="s">
        <v>591</v>
      </c>
      <c r="K87" s="13" t="s">
        <v>591</v>
      </c>
      <c r="L87" s="13" t="s">
        <v>595</v>
      </c>
    </row>
    <row r="88" spans="1:12" ht="15" x14ac:dyDescent="0.25">
      <c r="A88" s="13" t="s">
        <v>243</v>
      </c>
      <c r="B88" s="13" t="s">
        <v>312</v>
      </c>
      <c r="C88" s="13" t="s">
        <v>313</v>
      </c>
      <c r="D88" s="14" t="s">
        <v>587</v>
      </c>
      <c r="E88" s="13" t="s">
        <v>315</v>
      </c>
      <c r="F88" s="14">
        <v>5</v>
      </c>
      <c r="G88" s="14">
        <v>1</v>
      </c>
      <c r="H88" s="13" t="s">
        <v>316</v>
      </c>
      <c r="I88" s="13" t="s">
        <v>317</v>
      </c>
      <c r="J88" s="13" t="s">
        <v>614</v>
      </c>
      <c r="K88" s="13" t="s">
        <v>592</v>
      </c>
      <c r="L88" s="13" t="s">
        <v>593</v>
      </c>
    </row>
    <row r="89" spans="1:12" ht="15" x14ac:dyDescent="0.25">
      <c r="A89" s="13" t="s">
        <v>223</v>
      </c>
      <c r="B89" s="13" t="s">
        <v>312</v>
      </c>
      <c r="C89" s="13" t="s">
        <v>313</v>
      </c>
      <c r="D89" s="14" t="s">
        <v>587</v>
      </c>
      <c r="E89" s="13" t="s">
        <v>315</v>
      </c>
      <c r="F89" s="14">
        <v>5</v>
      </c>
      <c r="G89" s="14">
        <v>1</v>
      </c>
      <c r="H89" s="13" t="s">
        <v>316</v>
      </c>
      <c r="I89" s="13" t="s">
        <v>317</v>
      </c>
      <c r="J89" s="13" t="s">
        <v>614</v>
      </c>
      <c r="K89" s="13" t="s">
        <v>592</v>
      </c>
      <c r="L89" s="13" t="s">
        <v>593</v>
      </c>
    </row>
    <row r="90" spans="1:12" ht="15" x14ac:dyDescent="0.25">
      <c r="A90" s="13" t="s">
        <v>559</v>
      </c>
      <c r="B90" s="13" t="s">
        <v>312</v>
      </c>
      <c r="C90" s="13" t="s">
        <v>313</v>
      </c>
      <c r="D90" s="14" t="s">
        <v>587</v>
      </c>
      <c r="E90" s="13" t="s">
        <v>315</v>
      </c>
      <c r="F90" s="14">
        <v>5</v>
      </c>
      <c r="G90" s="14">
        <v>1</v>
      </c>
      <c r="H90" s="13" t="s">
        <v>316</v>
      </c>
      <c r="I90" s="13" t="s">
        <v>317</v>
      </c>
      <c r="J90" s="13" t="s">
        <v>674</v>
      </c>
      <c r="K90" s="13" t="s">
        <v>675</v>
      </c>
      <c r="L90" s="13" t="s">
        <v>593</v>
      </c>
    </row>
    <row r="91" spans="1:12" ht="15" x14ac:dyDescent="0.25">
      <c r="A91" s="13" t="s">
        <v>287</v>
      </c>
      <c r="B91" s="13" t="s">
        <v>312</v>
      </c>
      <c r="C91" s="13" t="s">
        <v>313</v>
      </c>
      <c r="D91" s="14" t="s">
        <v>587</v>
      </c>
      <c r="E91" s="13" t="s">
        <v>315</v>
      </c>
      <c r="F91" s="14">
        <v>5</v>
      </c>
      <c r="G91" s="14">
        <v>1</v>
      </c>
      <c r="H91" s="13" t="s">
        <v>316</v>
      </c>
      <c r="I91" s="13" t="s">
        <v>317</v>
      </c>
      <c r="J91" s="13" t="s">
        <v>649</v>
      </c>
      <c r="K91" s="13" t="s">
        <v>649</v>
      </c>
      <c r="L91" s="13" t="s">
        <v>595</v>
      </c>
    </row>
    <row r="92" spans="1:12" ht="15" x14ac:dyDescent="0.25">
      <c r="A92" s="13" t="s">
        <v>553</v>
      </c>
      <c r="B92" s="13" t="s">
        <v>312</v>
      </c>
      <c r="C92" s="13" t="s">
        <v>313</v>
      </c>
      <c r="D92" s="14" t="s">
        <v>587</v>
      </c>
      <c r="E92" s="13" t="s">
        <v>315</v>
      </c>
      <c r="F92" s="14">
        <v>5</v>
      </c>
      <c r="G92" s="14">
        <v>1</v>
      </c>
      <c r="H92" s="13" t="s">
        <v>316</v>
      </c>
      <c r="I92" s="13" t="s">
        <v>317</v>
      </c>
      <c r="J92" s="13" t="s">
        <v>674</v>
      </c>
      <c r="K92" s="13" t="s">
        <v>675</v>
      </c>
      <c r="L92" s="13" t="s">
        <v>593</v>
      </c>
    </row>
    <row r="93" spans="1:12" ht="15" x14ac:dyDescent="0.25">
      <c r="A93" s="13" t="s">
        <v>288</v>
      </c>
      <c r="B93" s="13" t="s">
        <v>312</v>
      </c>
      <c r="C93" s="13" t="s">
        <v>313</v>
      </c>
      <c r="D93" s="14" t="s">
        <v>587</v>
      </c>
      <c r="E93" s="13" t="s">
        <v>315</v>
      </c>
      <c r="F93" s="14">
        <v>5</v>
      </c>
      <c r="G93" s="14">
        <v>1</v>
      </c>
      <c r="H93" s="13" t="s">
        <v>316</v>
      </c>
      <c r="I93" s="13" t="s">
        <v>317</v>
      </c>
      <c r="J93" s="13" t="s">
        <v>654</v>
      </c>
      <c r="K93" s="13" t="s">
        <v>676</v>
      </c>
      <c r="L93" s="13" t="s">
        <v>657</v>
      </c>
    </row>
    <row r="94" spans="1:12" ht="15" x14ac:dyDescent="0.25">
      <c r="A94" s="13" t="s">
        <v>499</v>
      </c>
      <c r="B94" s="13" t="s">
        <v>312</v>
      </c>
      <c r="C94" s="13" t="s">
        <v>313</v>
      </c>
      <c r="D94" s="14" t="s">
        <v>587</v>
      </c>
      <c r="E94" s="13" t="s">
        <v>315</v>
      </c>
      <c r="F94" s="14">
        <v>5</v>
      </c>
      <c r="G94" s="14">
        <v>1</v>
      </c>
      <c r="H94" s="13" t="s">
        <v>316</v>
      </c>
      <c r="I94" s="13" t="s">
        <v>317</v>
      </c>
      <c r="J94" s="13" t="s">
        <v>677</v>
      </c>
      <c r="K94" s="13" t="s">
        <v>677</v>
      </c>
      <c r="L94" s="13" t="s">
        <v>595</v>
      </c>
    </row>
    <row r="95" spans="1:12" ht="15" x14ac:dyDescent="0.25">
      <c r="A95" s="13" t="s">
        <v>539</v>
      </c>
      <c r="B95" s="13" t="s">
        <v>312</v>
      </c>
      <c r="C95" s="13" t="s">
        <v>313</v>
      </c>
      <c r="D95" s="14" t="s">
        <v>587</v>
      </c>
      <c r="E95" s="13" t="s">
        <v>315</v>
      </c>
      <c r="F95" s="14">
        <v>5</v>
      </c>
      <c r="G95" s="14">
        <v>1</v>
      </c>
      <c r="H95" s="13" t="s">
        <v>316</v>
      </c>
      <c r="I95" s="13" t="s">
        <v>317</v>
      </c>
      <c r="J95" s="13" t="s">
        <v>662</v>
      </c>
      <c r="K95" s="13" t="s">
        <v>604</v>
      </c>
      <c r="L95" s="13" t="s">
        <v>590</v>
      </c>
    </row>
    <row r="96" spans="1:12" ht="15" x14ac:dyDescent="0.25">
      <c r="A96" s="13" t="s">
        <v>502</v>
      </c>
      <c r="B96" s="13" t="s">
        <v>312</v>
      </c>
      <c r="C96" s="13" t="s">
        <v>313</v>
      </c>
      <c r="D96" s="14" t="s">
        <v>587</v>
      </c>
      <c r="E96" s="13" t="s">
        <v>315</v>
      </c>
      <c r="F96" s="14">
        <v>5</v>
      </c>
      <c r="G96" s="14">
        <v>1</v>
      </c>
      <c r="H96" s="13" t="s">
        <v>316</v>
      </c>
      <c r="I96" s="13" t="s">
        <v>317</v>
      </c>
      <c r="J96" s="13" t="s">
        <v>678</v>
      </c>
      <c r="K96" s="13" t="s">
        <v>679</v>
      </c>
      <c r="L96" s="13" t="s">
        <v>657</v>
      </c>
    </row>
    <row r="97" spans="1:12" ht="15" x14ac:dyDescent="0.25">
      <c r="A97" s="13" t="s">
        <v>530</v>
      </c>
      <c r="B97" s="13" t="s">
        <v>312</v>
      </c>
      <c r="C97" s="13" t="s">
        <v>313</v>
      </c>
      <c r="D97" s="14" t="s">
        <v>587</v>
      </c>
      <c r="E97" s="13" t="s">
        <v>315</v>
      </c>
      <c r="F97" s="14">
        <v>5</v>
      </c>
      <c r="G97" s="14">
        <v>1</v>
      </c>
      <c r="H97" s="13" t="s">
        <v>316</v>
      </c>
      <c r="I97" s="13" t="s">
        <v>317</v>
      </c>
      <c r="J97" s="13" t="s">
        <v>680</v>
      </c>
      <c r="K97" s="13" t="s">
        <v>681</v>
      </c>
      <c r="L97" s="13" t="s">
        <v>657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105"/>
  <sheetViews>
    <sheetView tabSelected="1" workbookViewId="0">
      <pane xSplit="1" ySplit="1" topLeftCell="B2" activePane="bottomRight" state="frozen"/>
      <selection pane="topRight" activeCell="B1" sqref="B1"/>
      <selection pane="bottomLeft" activeCell="A2" sqref="A2"/>
      <selection pane="bottomRight" activeCell="H31" sqref="H31"/>
    </sheetView>
  </sheetViews>
  <sheetFormatPr defaultColWidth="12.5703125" defaultRowHeight="15.75" customHeight="1" x14ac:dyDescent="0.2"/>
  <cols>
    <col min="1" max="1" width="46.42578125" customWidth="1"/>
    <col min="5" max="5" width="21.42578125" customWidth="1"/>
  </cols>
  <sheetData>
    <row r="1" spans="1:14" ht="15.75" customHeight="1" x14ac:dyDescent="0.25">
      <c r="A1" s="1" t="s">
        <v>2</v>
      </c>
      <c r="B1" s="3" t="s">
        <v>682</v>
      </c>
      <c r="C1" s="3" t="s">
        <v>683</v>
      </c>
      <c r="D1" s="3" t="s">
        <v>684</v>
      </c>
      <c r="E1" s="3" t="s">
        <v>685</v>
      </c>
      <c r="F1" s="3" t="s">
        <v>686</v>
      </c>
      <c r="G1" s="3" t="s">
        <v>687</v>
      </c>
      <c r="H1" s="3"/>
      <c r="I1" s="3" t="s">
        <v>688</v>
      </c>
      <c r="J1" s="3" t="s">
        <v>590</v>
      </c>
      <c r="K1" s="3" t="s">
        <v>689</v>
      </c>
      <c r="L1" s="3" t="s">
        <v>690</v>
      </c>
    </row>
    <row r="2" spans="1:14" ht="15.75" customHeight="1" x14ac:dyDescent="0.25">
      <c r="A2" s="1" t="s">
        <v>16</v>
      </c>
      <c r="B2" s="3" t="b">
        <v>0</v>
      </c>
      <c r="C2" s="3" t="b">
        <v>1</v>
      </c>
      <c r="D2" s="3" t="b">
        <v>0</v>
      </c>
      <c r="E2" s="3" t="b">
        <v>0</v>
      </c>
      <c r="F2" s="3" t="s">
        <v>688</v>
      </c>
      <c r="G2" s="3"/>
      <c r="H2" s="3" t="s">
        <v>691</v>
      </c>
      <c r="I2" s="16">
        <f>COUNTIF($F2:$F103,"good")</f>
        <v>11</v>
      </c>
      <c r="J2" s="16">
        <f>COUNTIF($F2:$F103,"acceptable")</f>
        <v>24</v>
      </c>
      <c r="K2" s="16">
        <f>COUNTIF($F2:$F103,"weak")</f>
        <v>30</v>
      </c>
      <c r="L2" s="16">
        <f>COUNTIF($F2:$F103,"wrong")</f>
        <v>32</v>
      </c>
    </row>
    <row r="3" spans="1:14" x14ac:dyDescent="0.2">
      <c r="A3" s="3" t="s">
        <v>26</v>
      </c>
      <c r="B3" s="3" t="b">
        <v>0</v>
      </c>
      <c r="C3" s="3" t="b">
        <v>0</v>
      </c>
      <c r="D3" s="3" t="b">
        <v>0</v>
      </c>
      <c r="E3" s="3" t="b">
        <v>1</v>
      </c>
      <c r="F3" s="3" t="s">
        <v>590</v>
      </c>
      <c r="G3" s="3" t="s">
        <v>692</v>
      </c>
      <c r="H3" s="3" t="s">
        <v>693</v>
      </c>
      <c r="I3" s="17">
        <f t="shared" ref="I3:L3" si="0">I2/97</f>
        <v>0.1134020618556701</v>
      </c>
      <c r="J3" s="17">
        <f t="shared" si="0"/>
        <v>0.24742268041237114</v>
      </c>
      <c r="K3" s="17">
        <f t="shared" si="0"/>
        <v>0.30927835051546393</v>
      </c>
      <c r="L3" s="17">
        <f t="shared" si="0"/>
        <v>0.32989690721649484</v>
      </c>
      <c r="M3" s="16"/>
      <c r="N3" s="16"/>
    </row>
    <row r="4" spans="1:14" ht="15.75" customHeight="1" x14ac:dyDescent="0.25">
      <c r="A4" s="1" t="s">
        <v>29</v>
      </c>
      <c r="B4" s="3" t="b">
        <v>1</v>
      </c>
      <c r="C4" s="3" t="b">
        <v>1</v>
      </c>
      <c r="D4" s="3" t="b">
        <v>0</v>
      </c>
      <c r="E4" s="3" t="b">
        <v>0</v>
      </c>
      <c r="F4" s="3" t="s">
        <v>689</v>
      </c>
      <c r="G4" s="3" t="s">
        <v>694</v>
      </c>
    </row>
    <row r="5" spans="1:14" ht="15.75" customHeight="1" x14ac:dyDescent="0.25">
      <c r="A5" s="1" t="s">
        <v>32</v>
      </c>
      <c r="B5" s="3" t="b">
        <v>0</v>
      </c>
      <c r="C5" s="3" t="b">
        <v>0</v>
      </c>
      <c r="D5" s="3" t="b">
        <v>1</v>
      </c>
      <c r="E5" s="3" t="b">
        <v>0</v>
      </c>
      <c r="F5" s="3" t="s">
        <v>689</v>
      </c>
      <c r="G5" s="3" t="s">
        <v>695</v>
      </c>
    </row>
    <row r="6" spans="1:14" x14ac:dyDescent="0.2">
      <c r="A6" s="3" t="s">
        <v>37</v>
      </c>
      <c r="B6" s="3" t="b">
        <v>0</v>
      </c>
      <c r="C6" s="3" t="b">
        <v>0</v>
      </c>
      <c r="D6" s="3" t="b">
        <v>0</v>
      </c>
      <c r="E6" s="3" t="b">
        <v>0</v>
      </c>
      <c r="F6" s="3" t="s">
        <v>590</v>
      </c>
      <c r="G6" s="3" t="s">
        <v>695</v>
      </c>
    </row>
    <row r="7" spans="1:14" ht="15.75" customHeight="1" x14ac:dyDescent="0.25">
      <c r="A7" s="1" t="s">
        <v>41</v>
      </c>
      <c r="B7" s="3" t="b">
        <v>0</v>
      </c>
      <c r="C7" s="3" t="b">
        <v>1</v>
      </c>
      <c r="D7" s="3" t="b">
        <v>0</v>
      </c>
      <c r="E7" s="3" t="b">
        <v>0</v>
      </c>
      <c r="F7" s="3" t="s">
        <v>690</v>
      </c>
      <c r="G7" s="3" t="s">
        <v>696</v>
      </c>
    </row>
    <row r="8" spans="1:14" ht="15.75" customHeight="1" x14ac:dyDescent="0.25">
      <c r="A8" s="1" t="s">
        <v>45</v>
      </c>
      <c r="B8" s="3" t="b">
        <v>0</v>
      </c>
      <c r="C8" s="3" t="b">
        <v>1</v>
      </c>
      <c r="D8" s="3" t="b">
        <v>0</v>
      </c>
      <c r="E8" s="3" t="b">
        <v>0</v>
      </c>
      <c r="F8" s="3" t="s">
        <v>590</v>
      </c>
      <c r="G8" s="3" t="s">
        <v>695</v>
      </c>
    </row>
    <row r="9" spans="1:14" x14ac:dyDescent="0.2">
      <c r="A9" s="3" t="s">
        <v>49</v>
      </c>
      <c r="B9" s="3" t="b">
        <v>0</v>
      </c>
      <c r="C9" s="3" t="b">
        <v>1</v>
      </c>
      <c r="D9" s="3" t="b">
        <v>0</v>
      </c>
      <c r="E9" s="3" t="b">
        <v>0</v>
      </c>
      <c r="F9" s="3" t="s">
        <v>590</v>
      </c>
      <c r="G9" s="3" t="s">
        <v>694</v>
      </c>
    </row>
    <row r="10" spans="1:14" x14ac:dyDescent="0.2">
      <c r="A10" s="5" t="s">
        <v>52</v>
      </c>
      <c r="B10" s="3" t="b">
        <v>1</v>
      </c>
      <c r="C10" s="3" t="b">
        <v>0</v>
      </c>
      <c r="D10" s="3" t="b">
        <v>0</v>
      </c>
      <c r="E10" s="3" t="b">
        <v>0</v>
      </c>
      <c r="F10" s="3" t="s">
        <v>590</v>
      </c>
      <c r="G10" s="3" t="s">
        <v>695</v>
      </c>
    </row>
    <row r="11" spans="1:14" x14ac:dyDescent="0.2">
      <c r="A11" s="3" t="s">
        <v>54</v>
      </c>
      <c r="B11" s="3" t="b">
        <v>0</v>
      </c>
      <c r="C11" s="3" t="b">
        <v>1</v>
      </c>
      <c r="D11" s="3" t="b">
        <v>0</v>
      </c>
      <c r="E11" s="3" t="b">
        <v>0</v>
      </c>
      <c r="F11" s="3" t="s">
        <v>690</v>
      </c>
      <c r="G11" s="3" t="s">
        <v>696</v>
      </c>
    </row>
    <row r="12" spans="1:14" ht="15.75" customHeight="1" x14ac:dyDescent="0.25">
      <c r="A12" s="1" t="s">
        <v>58</v>
      </c>
      <c r="B12" s="3" t="b">
        <v>0</v>
      </c>
      <c r="C12" s="3" t="b">
        <v>0</v>
      </c>
      <c r="D12" s="3" t="b">
        <v>0</v>
      </c>
      <c r="E12" s="3" t="b">
        <v>0</v>
      </c>
      <c r="F12" s="3" t="s">
        <v>590</v>
      </c>
      <c r="G12" s="3" t="s">
        <v>697</v>
      </c>
    </row>
    <row r="13" spans="1:14" ht="15.75" customHeight="1" x14ac:dyDescent="0.25">
      <c r="A13" s="1" t="s">
        <v>61</v>
      </c>
      <c r="B13" s="3" t="b">
        <v>1</v>
      </c>
      <c r="C13" s="3" t="b">
        <v>0</v>
      </c>
      <c r="D13" s="3" t="b">
        <v>0</v>
      </c>
      <c r="E13" s="3" t="b">
        <v>0</v>
      </c>
      <c r="F13" s="3" t="s">
        <v>590</v>
      </c>
      <c r="G13" s="3" t="s">
        <v>698</v>
      </c>
    </row>
    <row r="14" spans="1:14" ht="15.75" customHeight="1" x14ac:dyDescent="0.25">
      <c r="A14" s="1" t="s">
        <v>67</v>
      </c>
      <c r="B14" s="3" t="b">
        <v>1</v>
      </c>
      <c r="C14" s="3" t="b">
        <v>1</v>
      </c>
      <c r="D14" s="3" t="b">
        <v>0</v>
      </c>
      <c r="E14" s="3" t="b">
        <v>0</v>
      </c>
      <c r="F14" s="3" t="s">
        <v>590</v>
      </c>
      <c r="G14" s="3" t="s">
        <v>694</v>
      </c>
    </row>
    <row r="15" spans="1:14" x14ac:dyDescent="0.2">
      <c r="A15" s="3" t="s">
        <v>72</v>
      </c>
      <c r="B15" s="3" t="b">
        <v>0</v>
      </c>
      <c r="C15" s="3" t="b">
        <v>0</v>
      </c>
      <c r="D15" s="3" t="b">
        <v>0</v>
      </c>
      <c r="E15" s="3" t="b">
        <v>0</v>
      </c>
      <c r="F15" s="3" t="s">
        <v>590</v>
      </c>
      <c r="G15" s="3" t="s">
        <v>697</v>
      </c>
    </row>
    <row r="16" spans="1:14" ht="15.75" customHeight="1" x14ac:dyDescent="0.25">
      <c r="A16" s="1" t="s">
        <v>74</v>
      </c>
      <c r="B16" s="3" t="b">
        <v>1</v>
      </c>
      <c r="C16" s="3" t="b">
        <v>0</v>
      </c>
      <c r="D16" s="3" t="b">
        <v>0</v>
      </c>
      <c r="E16" s="3" t="b">
        <v>0</v>
      </c>
      <c r="F16" s="3" t="s">
        <v>690</v>
      </c>
      <c r="G16" s="3" t="s">
        <v>699</v>
      </c>
    </row>
    <row r="17" spans="1:7" x14ac:dyDescent="0.2">
      <c r="A17" s="3" t="s">
        <v>75</v>
      </c>
      <c r="B17" s="3" t="b">
        <v>0</v>
      </c>
      <c r="C17" s="3" t="b">
        <v>0</v>
      </c>
      <c r="D17" s="3" t="b">
        <v>0</v>
      </c>
      <c r="E17" s="3" t="b">
        <v>0</v>
      </c>
      <c r="F17" s="3" t="s">
        <v>590</v>
      </c>
      <c r="G17" s="3" t="s">
        <v>698</v>
      </c>
    </row>
    <row r="18" spans="1:7" ht="15.75" customHeight="1" x14ac:dyDescent="0.25">
      <c r="A18" s="1" t="s">
        <v>76</v>
      </c>
      <c r="B18" s="3" t="b">
        <v>1</v>
      </c>
      <c r="C18" s="3" t="b">
        <v>0</v>
      </c>
      <c r="D18" s="3" t="b">
        <v>0</v>
      </c>
      <c r="E18" s="3" t="b">
        <v>0</v>
      </c>
      <c r="F18" s="3" t="s">
        <v>690</v>
      </c>
      <c r="G18" s="3" t="s">
        <v>695</v>
      </c>
    </row>
    <row r="19" spans="1:7" ht="15.75" customHeight="1" x14ac:dyDescent="0.25">
      <c r="A19" s="1" t="s">
        <v>79</v>
      </c>
      <c r="B19" s="3" t="b">
        <v>0</v>
      </c>
      <c r="C19" s="3" t="b">
        <v>0</v>
      </c>
      <c r="D19" s="3" t="b">
        <v>0</v>
      </c>
      <c r="E19" s="3" t="b">
        <v>0</v>
      </c>
      <c r="F19" s="3" t="s">
        <v>590</v>
      </c>
      <c r="G19" s="3" t="s">
        <v>698</v>
      </c>
    </row>
    <row r="20" spans="1:7" x14ac:dyDescent="0.2">
      <c r="A20" s="3" t="s">
        <v>81</v>
      </c>
      <c r="B20" s="3" t="b">
        <v>0</v>
      </c>
      <c r="C20" s="3" t="b">
        <v>0</v>
      </c>
      <c r="D20" s="3" t="b">
        <v>1</v>
      </c>
      <c r="E20" s="3" t="b">
        <v>0</v>
      </c>
      <c r="F20" s="3" t="s">
        <v>690</v>
      </c>
      <c r="G20" s="3" t="s">
        <v>699</v>
      </c>
    </row>
    <row r="21" spans="1:7" ht="15.75" customHeight="1" x14ac:dyDescent="0.25">
      <c r="A21" s="1" t="s">
        <v>82</v>
      </c>
      <c r="B21" s="3" t="b">
        <v>1</v>
      </c>
      <c r="C21" s="3" t="b">
        <v>0</v>
      </c>
      <c r="D21" s="3" t="b">
        <v>0</v>
      </c>
      <c r="E21" s="3" t="b">
        <v>0</v>
      </c>
      <c r="F21" s="3" t="s">
        <v>690</v>
      </c>
      <c r="G21" s="3" t="s">
        <v>696</v>
      </c>
    </row>
    <row r="22" spans="1:7" x14ac:dyDescent="0.2">
      <c r="A22" s="3" t="s">
        <v>84</v>
      </c>
      <c r="B22" s="3" t="b">
        <v>1</v>
      </c>
      <c r="C22" s="3" t="b">
        <v>1</v>
      </c>
      <c r="D22" s="3" t="b">
        <v>0</v>
      </c>
      <c r="E22" s="3" t="b">
        <v>0</v>
      </c>
      <c r="F22" s="3" t="s">
        <v>689</v>
      </c>
      <c r="G22" s="3" t="s">
        <v>695</v>
      </c>
    </row>
    <row r="23" spans="1:7" x14ac:dyDescent="0.2">
      <c r="A23" s="3" t="s">
        <v>86</v>
      </c>
      <c r="B23" s="3" t="b">
        <v>1</v>
      </c>
      <c r="C23" s="3" t="b">
        <v>0</v>
      </c>
      <c r="D23" s="3" t="b">
        <v>0</v>
      </c>
      <c r="E23" s="3" t="b">
        <v>0</v>
      </c>
      <c r="F23" s="3" t="s">
        <v>690</v>
      </c>
      <c r="G23" s="3" t="s">
        <v>699</v>
      </c>
    </row>
    <row r="24" spans="1:7" ht="15.75" customHeight="1" x14ac:dyDescent="0.25">
      <c r="A24" s="1" t="s">
        <v>89</v>
      </c>
      <c r="B24" s="3" t="b">
        <v>1</v>
      </c>
      <c r="C24" s="3" t="b">
        <v>1</v>
      </c>
      <c r="D24" s="3" t="b">
        <v>0</v>
      </c>
      <c r="E24" s="3" t="b">
        <v>0</v>
      </c>
      <c r="F24" s="3" t="s">
        <v>690</v>
      </c>
      <c r="G24" s="3" t="s">
        <v>695</v>
      </c>
    </row>
    <row r="25" spans="1:7" x14ac:dyDescent="0.2">
      <c r="A25" s="5" t="s">
        <v>92</v>
      </c>
      <c r="B25" s="3" t="b">
        <v>0</v>
      </c>
      <c r="C25" s="3" t="b">
        <v>0</v>
      </c>
      <c r="D25" s="3" t="b">
        <v>0</v>
      </c>
      <c r="E25" s="3" t="b">
        <v>0</v>
      </c>
      <c r="F25" s="3" t="s">
        <v>690</v>
      </c>
      <c r="G25" s="3" t="s">
        <v>695</v>
      </c>
    </row>
    <row r="26" spans="1:7" x14ac:dyDescent="0.2">
      <c r="A26" s="3" t="s">
        <v>94</v>
      </c>
      <c r="B26" s="3" t="b">
        <v>1</v>
      </c>
      <c r="C26" s="3" t="b">
        <v>1</v>
      </c>
      <c r="D26" s="3" t="b">
        <v>0</v>
      </c>
      <c r="E26" s="3" t="b">
        <v>0</v>
      </c>
      <c r="F26" s="3" t="s">
        <v>689</v>
      </c>
      <c r="G26" s="3" t="s">
        <v>699</v>
      </c>
    </row>
    <row r="27" spans="1:7" ht="15.75" customHeight="1" x14ac:dyDescent="0.25">
      <c r="A27" s="1" t="s">
        <v>99</v>
      </c>
      <c r="B27" s="3" t="b">
        <v>1</v>
      </c>
      <c r="C27" s="3" t="b">
        <v>0</v>
      </c>
      <c r="D27" s="3" t="b">
        <v>0</v>
      </c>
      <c r="E27" s="3" t="b">
        <v>0</v>
      </c>
      <c r="F27" s="3" t="s">
        <v>689</v>
      </c>
      <c r="G27" s="3" t="s">
        <v>699</v>
      </c>
    </row>
    <row r="28" spans="1:7" ht="15.75" customHeight="1" x14ac:dyDescent="0.25">
      <c r="A28" s="1" t="s">
        <v>104</v>
      </c>
      <c r="B28" s="3" t="b">
        <v>1</v>
      </c>
      <c r="C28" s="3" t="b">
        <v>1</v>
      </c>
      <c r="D28" s="3" t="b">
        <v>0</v>
      </c>
      <c r="E28" s="3" t="b">
        <v>0</v>
      </c>
      <c r="F28" s="3" t="s">
        <v>690</v>
      </c>
      <c r="G28" s="3" t="s">
        <v>698</v>
      </c>
    </row>
    <row r="29" spans="1:7" ht="15.75" customHeight="1" x14ac:dyDescent="0.25">
      <c r="A29" s="1" t="s">
        <v>108</v>
      </c>
      <c r="B29" s="3" t="b">
        <v>1</v>
      </c>
      <c r="C29" s="3" t="b">
        <v>0</v>
      </c>
      <c r="D29" s="3" t="b">
        <v>0</v>
      </c>
      <c r="E29" s="3" t="b">
        <v>0</v>
      </c>
      <c r="F29" s="3" t="s">
        <v>689</v>
      </c>
      <c r="G29" s="3" t="s">
        <v>692</v>
      </c>
    </row>
    <row r="30" spans="1:7" ht="15.75" customHeight="1" x14ac:dyDescent="0.25">
      <c r="A30" s="1" t="s">
        <v>111</v>
      </c>
      <c r="B30" s="3" t="b">
        <v>0</v>
      </c>
      <c r="C30" s="3" t="b">
        <v>1</v>
      </c>
      <c r="D30" s="3" t="b">
        <v>0</v>
      </c>
      <c r="E30" s="3" t="b">
        <v>0</v>
      </c>
      <c r="F30" s="3" t="s">
        <v>689</v>
      </c>
      <c r="G30" s="3" t="s">
        <v>696</v>
      </c>
    </row>
    <row r="31" spans="1:7" ht="15.75" customHeight="1" x14ac:dyDescent="0.25">
      <c r="A31" s="1" t="s">
        <v>700</v>
      </c>
      <c r="B31" s="3" t="b">
        <v>0</v>
      </c>
      <c r="C31" s="3" t="b">
        <v>1</v>
      </c>
      <c r="D31" s="3" t="b">
        <v>0</v>
      </c>
      <c r="E31" s="3" t="b">
        <v>0</v>
      </c>
      <c r="F31" s="3" t="s">
        <v>689</v>
      </c>
      <c r="G31" s="3" t="s">
        <v>696</v>
      </c>
    </row>
    <row r="32" spans="1:7" ht="15.75" customHeight="1" x14ac:dyDescent="0.25">
      <c r="A32" s="1" t="s">
        <v>118</v>
      </c>
      <c r="B32" s="3" t="b">
        <v>0</v>
      </c>
      <c r="C32" s="3" t="b">
        <v>0</v>
      </c>
      <c r="D32" s="3" t="b">
        <v>0</v>
      </c>
      <c r="E32" s="3" t="b">
        <v>0</v>
      </c>
      <c r="F32" s="3" t="s">
        <v>688</v>
      </c>
      <c r="G32" s="3"/>
    </row>
    <row r="33" spans="1:7" ht="15.75" customHeight="1" x14ac:dyDescent="0.25">
      <c r="A33" s="1" t="s">
        <v>122</v>
      </c>
      <c r="B33" s="3" t="b">
        <v>1</v>
      </c>
      <c r="C33" s="3" t="b">
        <v>0</v>
      </c>
      <c r="D33" s="3" t="b">
        <v>0</v>
      </c>
      <c r="E33" s="3" t="b">
        <v>0</v>
      </c>
      <c r="F33" s="3" t="s">
        <v>689</v>
      </c>
      <c r="G33" s="3" t="s">
        <v>699</v>
      </c>
    </row>
    <row r="34" spans="1:7" ht="15.75" customHeight="1" x14ac:dyDescent="0.25">
      <c r="A34" s="1" t="s">
        <v>126</v>
      </c>
      <c r="B34" s="3" t="b">
        <v>0</v>
      </c>
      <c r="C34" s="3" t="b">
        <v>0</v>
      </c>
      <c r="D34" s="3" t="b">
        <v>0</v>
      </c>
      <c r="E34" s="3" t="b">
        <v>0</v>
      </c>
      <c r="F34" s="3" t="s">
        <v>689</v>
      </c>
      <c r="G34" s="3" t="s">
        <v>699</v>
      </c>
    </row>
    <row r="35" spans="1:7" ht="15.75" customHeight="1" x14ac:dyDescent="0.25">
      <c r="A35" s="1" t="s">
        <v>128</v>
      </c>
      <c r="B35" s="3" t="b">
        <v>0</v>
      </c>
      <c r="C35" s="3" t="b">
        <v>0</v>
      </c>
      <c r="D35" s="3" t="b">
        <v>0</v>
      </c>
      <c r="E35" s="3" t="b">
        <v>0</v>
      </c>
      <c r="F35" s="3" t="s">
        <v>590</v>
      </c>
      <c r="G35" s="3" t="s">
        <v>698</v>
      </c>
    </row>
    <row r="36" spans="1:7" x14ac:dyDescent="0.2">
      <c r="A36" s="5" t="s">
        <v>131</v>
      </c>
      <c r="B36" s="3" t="b">
        <v>1</v>
      </c>
      <c r="C36" s="3" t="b">
        <v>0</v>
      </c>
      <c r="D36" s="3" t="b">
        <v>0</v>
      </c>
      <c r="E36" s="3" t="b">
        <v>0</v>
      </c>
      <c r="F36" s="3" t="s">
        <v>689</v>
      </c>
      <c r="G36" s="3" t="s">
        <v>694</v>
      </c>
    </row>
    <row r="37" spans="1:7" ht="15.75" customHeight="1" x14ac:dyDescent="0.25">
      <c r="A37" s="1" t="s">
        <v>133</v>
      </c>
      <c r="B37" s="3" t="b">
        <v>0</v>
      </c>
      <c r="C37" s="3" t="b">
        <v>0</v>
      </c>
      <c r="D37" s="3" t="b">
        <v>0</v>
      </c>
      <c r="E37" s="3" t="b">
        <v>1</v>
      </c>
      <c r="F37" s="3" t="s">
        <v>688</v>
      </c>
      <c r="G37" s="3"/>
    </row>
    <row r="38" spans="1:7" ht="12.75" x14ac:dyDescent="0.2">
      <c r="A38" s="3" t="s">
        <v>137</v>
      </c>
      <c r="B38" s="3" t="b">
        <v>0</v>
      </c>
      <c r="C38" s="3" t="b">
        <v>1</v>
      </c>
      <c r="D38" s="3" t="b">
        <v>1</v>
      </c>
      <c r="E38" s="3" t="b">
        <v>0</v>
      </c>
      <c r="F38" s="3" t="s">
        <v>690</v>
      </c>
      <c r="G38" s="3" t="s">
        <v>696</v>
      </c>
    </row>
    <row r="39" spans="1:7" ht="15" x14ac:dyDescent="0.25">
      <c r="A39" s="1" t="s">
        <v>140</v>
      </c>
      <c r="B39" s="3" t="b">
        <v>1</v>
      </c>
      <c r="C39" s="3" t="b">
        <v>0</v>
      </c>
      <c r="D39" s="3" t="b">
        <v>0</v>
      </c>
      <c r="E39" s="3" t="b">
        <v>0</v>
      </c>
      <c r="F39" s="3" t="s">
        <v>690</v>
      </c>
      <c r="G39" s="3" t="s">
        <v>696</v>
      </c>
    </row>
    <row r="40" spans="1:7" ht="15" x14ac:dyDescent="0.25">
      <c r="A40" s="1" t="s">
        <v>143</v>
      </c>
      <c r="B40" s="3" t="b">
        <v>0</v>
      </c>
      <c r="C40" s="3" t="b">
        <v>0</v>
      </c>
      <c r="D40" s="3" t="b">
        <v>0</v>
      </c>
      <c r="E40" s="3" t="b">
        <v>0</v>
      </c>
      <c r="F40" s="3" t="s">
        <v>590</v>
      </c>
      <c r="G40" s="3" t="s">
        <v>697</v>
      </c>
    </row>
    <row r="41" spans="1:7" ht="12.75" x14ac:dyDescent="0.2">
      <c r="A41" s="3" t="s">
        <v>144</v>
      </c>
      <c r="B41" s="3" t="b">
        <v>1</v>
      </c>
      <c r="C41" s="3" t="b">
        <v>0</v>
      </c>
      <c r="D41" s="3" t="b">
        <v>0</v>
      </c>
      <c r="E41" s="3" t="b">
        <v>0</v>
      </c>
      <c r="F41" s="3" t="s">
        <v>690</v>
      </c>
      <c r="G41" s="3" t="s">
        <v>699</v>
      </c>
    </row>
    <row r="42" spans="1:7" ht="15" x14ac:dyDescent="0.25">
      <c r="A42" s="1" t="s">
        <v>148</v>
      </c>
      <c r="B42" s="3" t="b">
        <v>0</v>
      </c>
      <c r="C42" s="3" t="b">
        <v>0</v>
      </c>
      <c r="D42" s="3" t="b">
        <v>0</v>
      </c>
      <c r="E42" s="3" t="b">
        <v>1</v>
      </c>
      <c r="F42" s="3" t="s">
        <v>690</v>
      </c>
      <c r="G42" s="3" t="s">
        <v>699</v>
      </c>
    </row>
    <row r="43" spans="1:7" ht="15" x14ac:dyDescent="0.25">
      <c r="A43" s="1" t="s">
        <v>152</v>
      </c>
      <c r="B43" s="3" t="b">
        <v>1</v>
      </c>
      <c r="C43" s="3" t="b">
        <v>0</v>
      </c>
      <c r="D43" s="3" t="b">
        <v>0</v>
      </c>
      <c r="E43" s="3" t="b">
        <v>0</v>
      </c>
      <c r="F43" s="3" t="s">
        <v>689</v>
      </c>
      <c r="G43" s="3" t="s">
        <v>699</v>
      </c>
    </row>
    <row r="44" spans="1:7" ht="12.75" x14ac:dyDescent="0.2">
      <c r="A44" s="3" t="s">
        <v>155</v>
      </c>
      <c r="B44" s="3" t="b">
        <v>1</v>
      </c>
      <c r="C44" s="3" t="b">
        <v>0</v>
      </c>
      <c r="D44" s="3" t="b">
        <v>1</v>
      </c>
      <c r="E44" s="3" t="b">
        <v>0</v>
      </c>
      <c r="F44" s="3" t="s">
        <v>690</v>
      </c>
      <c r="G44" s="3" t="s">
        <v>696</v>
      </c>
    </row>
    <row r="45" spans="1:7" ht="12.75" x14ac:dyDescent="0.2">
      <c r="A45" s="3" t="s">
        <v>159</v>
      </c>
      <c r="B45" s="3" t="b">
        <v>1</v>
      </c>
      <c r="C45" s="3" t="b">
        <v>1</v>
      </c>
      <c r="D45" s="3" t="b">
        <v>1</v>
      </c>
      <c r="E45" s="3" t="b">
        <v>0</v>
      </c>
      <c r="F45" s="3" t="s">
        <v>689</v>
      </c>
      <c r="G45" s="3" t="s">
        <v>699</v>
      </c>
    </row>
    <row r="46" spans="1:7" ht="12.75" x14ac:dyDescent="0.2">
      <c r="A46" s="3" t="s">
        <v>161</v>
      </c>
      <c r="B46" s="3" t="b">
        <v>0</v>
      </c>
      <c r="C46" s="3" t="b">
        <v>1</v>
      </c>
      <c r="D46" s="3" t="b">
        <v>0</v>
      </c>
      <c r="E46" s="3" t="b">
        <v>0</v>
      </c>
      <c r="F46" s="3" t="s">
        <v>688</v>
      </c>
      <c r="G46" s="3"/>
    </row>
    <row r="47" spans="1:7" ht="12.75" x14ac:dyDescent="0.2">
      <c r="A47" s="3" t="s">
        <v>163</v>
      </c>
      <c r="B47" s="3" t="b">
        <v>0</v>
      </c>
      <c r="C47" s="3" t="b">
        <v>1</v>
      </c>
      <c r="D47" s="3" t="b">
        <v>1</v>
      </c>
      <c r="E47" s="3" t="b">
        <v>0</v>
      </c>
      <c r="F47" s="3" t="s">
        <v>690</v>
      </c>
      <c r="G47" s="3" t="s">
        <v>692</v>
      </c>
    </row>
    <row r="48" spans="1:7" ht="12.75" x14ac:dyDescent="0.2">
      <c r="A48" s="3" t="s">
        <v>164</v>
      </c>
      <c r="B48" s="3" t="b">
        <v>1</v>
      </c>
      <c r="C48" s="3" t="b">
        <v>0</v>
      </c>
      <c r="D48" s="3" t="b">
        <v>1</v>
      </c>
      <c r="E48" s="3" t="b">
        <v>0</v>
      </c>
      <c r="F48" s="3" t="s">
        <v>690</v>
      </c>
      <c r="G48" s="3" t="s">
        <v>696</v>
      </c>
    </row>
    <row r="49" spans="1:27" ht="12.75" x14ac:dyDescent="0.2">
      <c r="A49" s="3" t="s">
        <v>166</v>
      </c>
      <c r="B49" s="3" t="b">
        <v>1</v>
      </c>
      <c r="C49" s="3" t="b">
        <v>0</v>
      </c>
      <c r="D49" s="3" t="b">
        <v>0</v>
      </c>
      <c r="E49" s="3" t="b">
        <v>0</v>
      </c>
      <c r="F49" s="3" t="s">
        <v>590</v>
      </c>
      <c r="G49" s="3" t="s">
        <v>697</v>
      </c>
    </row>
    <row r="50" spans="1:27" ht="12.75" x14ac:dyDescent="0.2">
      <c r="A50" s="5" t="s">
        <v>171</v>
      </c>
      <c r="B50" s="3" t="b">
        <v>1</v>
      </c>
      <c r="C50" s="3" t="b">
        <v>0</v>
      </c>
      <c r="D50" s="3" t="b">
        <v>0</v>
      </c>
      <c r="E50" s="3" t="b">
        <v>0</v>
      </c>
      <c r="F50" s="3" t="s">
        <v>689</v>
      </c>
      <c r="G50" s="3" t="s">
        <v>692</v>
      </c>
    </row>
    <row r="51" spans="1:27" ht="12.75" x14ac:dyDescent="0.2">
      <c r="A51" s="18" t="s">
        <v>173</v>
      </c>
      <c r="B51" s="19" t="b">
        <v>1</v>
      </c>
      <c r="C51" s="19" t="b">
        <v>1</v>
      </c>
      <c r="D51" s="19" t="b">
        <v>0</v>
      </c>
      <c r="E51" s="19" t="b">
        <v>0</v>
      </c>
      <c r="F51" s="19"/>
      <c r="G51" s="19"/>
      <c r="H51" s="19"/>
      <c r="I51" s="19"/>
      <c r="J51" s="19"/>
      <c r="K51" s="19"/>
      <c r="L51" s="19"/>
      <c r="M51" s="19"/>
      <c r="N51" s="19"/>
      <c r="O51" s="19"/>
      <c r="P51" s="19"/>
      <c r="Q51" s="19"/>
      <c r="R51" s="19"/>
      <c r="S51" s="19"/>
      <c r="T51" s="19"/>
      <c r="U51" s="19"/>
      <c r="V51" s="19"/>
      <c r="W51" s="19"/>
      <c r="X51" s="19"/>
      <c r="Y51" s="19"/>
      <c r="Z51" s="19"/>
      <c r="AA51" s="19"/>
    </row>
    <row r="52" spans="1:27" ht="12.75" x14ac:dyDescent="0.2">
      <c r="A52" s="10" t="s">
        <v>175</v>
      </c>
      <c r="B52" s="3" t="b">
        <v>0</v>
      </c>
      <c r="C52" s="3" t="b">
        <v>1</v>
      </c>
      <c r="D52" s="3" t="b">
        <v>0</v>
      </c>
      <c r="E52" s="3" t="b">
        <v>0</v>
      </c>
      <c r="F52" s="3" t="s">
        <v>590</v>
      </c>
      <c r="G52" s="3" t="s">
        <v>698</v>
      </c>
    </row>
    <row r="53" spans="1:27" ht="15" x14ac:dyDescent="0.25">
      <c r="A53" s="1" t="s">
        <v>179</v>
      </c>
      <c r="B53" s="3" t="b">
        <v>0</v>
      </c>
      <c r="C53" s="3" t="b">
        <v>0</v>
      </c>
      <c r="D53" s="3" t="b">
        <v>0</v>
      </c>
      <c r="E53" s="3" t="b">
        <v>0</v>
      </c>
      <c r="F53" s="3" t="s">
        <v>688</v>
      </c>
      <c r="G53" s="3"/>
    </row>
    <row r="54" spans="1:27" ht="12.75" x14ac:dyDescent="0.2">
      <c r="A54" s="10" t="s">
        <v>182</v>
      </c>
      <c r="B54" s="3" t="b">
        <v>0</v>
      </c>
      <c r="C54" s="3" t="b">
        <v>1</v>
      </c>
      <c r="D54" s="3" t="b">
        <v>0</v>
      </c>
      <c r="E54" s="3" t="b">
        <v>0</v>
      </c>
      <c r="F54" s="3" t="s">
        <v>590</v>
      </c>
      <c r="G54" s="3" t="s">
        <v>698</v>
      </c>
    </row>
    <row r="55" spans="1:27" ht="15" x14ac:dyDescent="0.25">
      <c r="A55" s="1" t="s">
        <v>185</v>
      </c>
      <c r="B55" s="3" t="b">
        <v>0</v>
      </c>
      <c r="C55" s="3" t="b">
        <v>0</v>
      </c>
      <c r="D55" s="3" t="b">
        <v>0</v>
      </c>
      <c r="E55" s="3" t="b">
        <v>0</v>
      </c>
      <c r="F55" s="3" t="s">
        <v>688</v>
      </c>
      <c r="G55" s="3"/>
    </row>
    <row r="56" spans="1:27" ht="12.75" x14ac:dyDescent="0.2">
      <c r="A56" s="19" t="s">
        <v>188</v>
      </c>
      <c r="B56" s="19" t="b">
        <v>1</v>
      </c>
      <c r="C56" s="19" t="b">
        <v>1</v>
      </c>
      <c r="D56" s="19" t="b">
        <v>0</v>
      </c>
      <c r="E56" s="19" t="b">
        <v>0</v>
      </c>
      <c r="F56" s="19"/>
      <c r="G56" s="19"/>
      <c r="H56" s="19"/>
      <c r="I56" s="19"/>
      <c r="J56" s="19"/>
      <c r="K56" s="19"/>
      <c r="L56" s="19"/>
      <c r="M56" s="19"/>
      <c r="N56" s="19"/>
      <c r="O56" s="19"/>
      <c r="P56" s="19"/>
      <c r="Q56" s="19"/>
      <c r="R56" s="19"/>
      <c r="S56" s="19"/>
      <c r="T56" s="19"/>
      <c r="U56" s="19"/>
      <c r="V56" s="19"/>
      <c r="W56" s="19"/>
      <c r="X56" s="19"/>
      <c r="Y56" s="19"/>
      <c r="Z56" s="19"/>
      <c r="AA56" s="19"/>
    </row>
    <row r="57" spans="1:27" ht="12.75" x14ac:dyDescent="0.2">
      <c r="A57" s="3" t="s">
        <v>190</v>
      </c>
      <c r="B57" s="3" t="b">
        <v>0</v>
      </c>
      <c r="C57" s="3" t="b">
        <v>1</v>
      </c>
      <c r="D57" s="3" t="b">
        <v>0</v>
      </c>
      <c r="E57" s="3" t="b">
        <v>0</v>
      </c>
      <c r="F57" s="3" t="s">
        <v>690</v>
      </c>
      <c r="G57" s="3" t="s">
        <v>696</v>
      </c>
    </row>
    <row r="58" spans="1:27" ht="12.75" x14ac:dyDescent="0.2">
      <c r="A58" s="5" t="s">
        <v>192</v>
      </c>
      <c r="B58" s="3" t="b">
        <v>0</v>
      </c>
      <c r="C58" s="3" t="b">
        <v>0</v>
      </c>
      <c r="D58" s="3" t="b">
        <v>0</v>
      </c>
      <c r="E58" s="3" t="b">
        <v>1</v>
      </c>
      <c r="F58" s="3" t="s">
        <v>590</v>
      </c>
      <c r="G58" s="3" t="s">
        <v>697</v>
      </c>
    </row>
    <row r="59" spans="1:27" ht="15" x14ac:dyDescent="0.25">
      <c r="A59" s="1" t="s">
        <v>193</v>
      </c>
      <c r="B59" s="3" t="b">
        <v>0</v>
      </c>
      <c r="C59" s="3" t="b">
        <v>1</v>
      </c>
      <c r="D59" s="3" t="b">
        <v>0</v>
      </c>
      <c r="E59" s="3" t="b">
        <v>0</v>
      </c>
      <c r="F59" s="3" t="s">
        <v>590</v>
      </c>
      <c r="G59" s="3" t="s">
        <v>697</v>
      </c>
    </row>
    <row r="60" spans="1:27" ht="12.75" x14ac:dyDescent="0.2">
      <c r="A60" s="3" t="s">
        <v>196</v>
      </c>
      <c r="B60" s="3" t="b">
        <v>1</v>
      </c>
      <c r="C60" s="3" t="b">
        <v>0</v>
      </c>
      <c r="D60" s="3" t="b">
        <v>0</v>
      </c>
      <c r="E60" s="3" t="b">
        <v>1</v>
      </c>
      <c r="F60" s="3" t="s">
        <v>688</v>
      </c>
      <c r="G60" s="3"/>
    </row>
    <row r="61" spans="1:27" ht="12.75" x14ac:dyDescent="0.2">
      <c r="A61" s="3" t="s">
        <v>197</v>
      </c>
      <c r="B61" s="3" t="b">
        <v>0</v>
      </c>
      <c r="C61" s="3" t="b">
        <v>0</v>
      </c>
      <c r="D61" s="3" t="b">
        <v>0</v>
      </c>
      <c r="E61" s="3" t="b">
        <v>0</v>
      </c>
      <c r="F61" s="3" t="s">
        <v>689</v>
      </c>
      <c r="G61" s="3" t="s">
        <v>699</v>
      </c>
    </row>
    <row r="62" spans="1:27" ht="12.75" x14ac:dyDescent="0.2">
      <c r="A62" s="3" t="s">
        <v>198</v>
      </c>
      <c r="B62" s="3" t="b">
        <v>0</v>
      </c>
      <c r="C62" s="3" t="b">
        <v>0</v>
      </c>
      <c r="D62" s="3" t="b">
        <v>0</v>
      </c>
      <c r="E62" s="3" t="b">
        <v>0</v>
      </c>
      <c r="F62" s="3" t="s">
        <v>690</v>
      </c>
      <c r="G62" s="3" t="s">
        <v>696</v>
      </c>
    </row>
    <row r="63" spans="1:27" ht="12.75" x14ac:dyDescent="0.2">
      <c r="A63" s="3" t="s">
        <v>199</v>
      </c>
      <c r="B63" s="3" t="b">
        <v>0</v>
      </c>
      <c r="C63" s="3" t="b">
        <v>0</v>
      </c>
      <c r="D63" s="3" t="b">
        <v>0</v>
      </c>
      <c r="E63" s="3" t="b">
        <v>0</v>
      </c>
      <c r="F63" s="3" t="s">
        <v>690</v>
      </c>
      <c r="G63" s="3" t="s">
        <v>696</v>
      </c>
    </row>
    <row r="64" spans="1:27" ht="12.75" x14ac:dyDescent="0.2">
      <c r="A64" s="3" t="s">
        <v>200</v>
      </c>
      <c r="B64" s="3" t="b">
        <v>0</v>
      </c>
      <c r="C64" s="3" t="b">
        <v>0</v>
      </c>
      <c r="D64" s="3" t="b">
        <v>0</v>
      </c>
      <c r="E64" s="3" t="b">
        <v>0</v>
      </c>
      <c r="F64" s="3" t="s">
        <v>689</v>
      </c>
      <c r="G64" s="3" t="s">
        <v>694</v>
      </c>
    </row>
    <row r="65" spans="1:7" ht="12.75" x14ac:dyDescent="0.2">
      <c r="A65" s="10" t="s">
        <v>201</v>
      </c>
      <c r="B65" s="3" t="b">
        <v>0</v>
      </c>
      <c r="C65" s="3" t="b">
        <v>1</v>
      </c>
      <c r="D65" s="3" t="b">
        <v>0</v>
      </c>
      <c r="E65" s="3" t="b">
        <v>0</v>
      </c>
      <c r="F65" s="3" t="s">
        <v>690</v>
      </c>
      <c r="G65" s="3" t="s">
        <v>701</v>
      </c>
    </row>
    <row r="66" spans="1:7" ht="12.75" x14ac:dyDescent="0.2">
      <c r="A66" s="10" t="s">
        <v>204</v>
      </c>
      <c r="B66" s="3" t="b">
        <v>0</v>
      </c>
      <c r="C66" s="3" t="b">
        <v>1</v>
      </c>
      <c r="D66" s="3" t="b">
        <v>0</v>
      </c>
      <c r="E66" s="3" t="b">
        <v>0</v>
      </c>
      <c r="F66" s="3" t="s">
        <v>689</v>
      </c>
      <c r="G66" s="3" t="s">
        <v>699</v>
      </c>
    </row>
    <row r="67" spans="1:7" ht="15" x14ac:dyDescent="0.25">
      <c r="A67" s="1" t="s">
        <v>207</v>
      </c>
      <c r="B67" s="3" t="b">
        <v>0</v>
      </c>
      <c r="C67" s="3" t="b">
        <v>0</v>
      </c>
      <c r="D67" s="3" t="b">
        <v>0</v>
      </c>
      <c r="E67" s="3" t="b">
        <v>0</v>
      </c>
      <c r="F67" s="3" t="s">
        <v>689</v>
      </c>
      <c r="G67" s="3" t="s">
        <v>694</v>
      </c>
    </row>
    <row r="68" spans="1:7" ht="15" x14ac:dyDescent="0.25">
      <c r="A68" s="1" t="s">
        <v>211</v>
      </c>
      <c r="B68" s="3" t="b">
        <v>1</v>
      </c>
      <c r="C68" s="3" t="b">
        <v>0</v>
      </c>
      <c r="D68" s="3" t="b">
        <v>0</v>
      </c>
      <c r="E68" s="3" t="b">
        <v>0</v>
      </c>
      <c r="F68" s="3" t="s">
        <v>690</v>
      </c>
      <c r="G68" s="3" t="s">
        <v>702</v>
      </c>
    </row>
    <row r="69" spans="1:7" ht="12.75" x14ac:dyDescent="0.2">
      <c r="A69" s="10" t="s">
        <v>213</v>
      </c>
      <c r="B69" s="3" t="b">
        <v>0</v>
      </c>
      <c r="C69" s="3" t="b">
        <v>1</v>
      </c>
      <c r="D69" s="3" t="b">
        <v>0</v>
      </c>
      <c r="E69" s="3" t="b">
        <v>0</v>
      </c>
      <c r="F69" s="3" t="s">
        <v>689</v>
      </c>
      <c r="G69" s="3" t="s">
        <v>698</v>
      </c>
    </row>
    <row r="70" spans="1:7" ht="12.75" x14ac:dyDescent="0.2">
      <c r="A70" s="3" t="s">
        <v>216</v>
      </c>
      <c r="B70" s="3" t="b">
        <v>1</v>
      </c>
      <c r="C70" s="3" t="b">
        <v>0</v>
      </c>
      <c r="D70" s="3" t="b">
        <v>0</v>
      </c>
      <c r="E70" s="3" t="b">
        <v>0</v>
      </c>
      <c r="F70" s="3" t="s">
        <v>690</v>
      </c>
      <c r="G70" s="3" t="s">
        <v>696</v>
      </c>
    </row>
    <row r="71" spans="1:7" ht="12.75" x14ac:dyDescent="0.2">
      <c r="A71" s="5" t="s">
        <v>219</v>
      </c>
      <c r="B71" s="3" t="b">
        <v>0</v>
      </c>
      <c r="C71" s="3" t="b">
        <v>0</v>
      </c>
      <c r="D71" s="3" t="b">
        <v>0</v>
      </c>
      <c r="E71" s="3" t="b">
        <v>1</v>
      </c>
      <c r="F71" s="3" t="s">
        <v>689</v>
      </c>
      <c r="G71" s="3" t="s">
        <v>699</v>
      </c>
    </row>
    <row r="72" spans="1:7" ht="12.75" x14ac:dyDescent="0.2">
      <c r="A72" s="3" t="s">
        <v>220</v>
      </c>
      <c r="B72" s="3" t="b">
        <v>0</v>
      </c>
      <c r="C72" s="3" t="b">
        <v>0</v>
      </c>
      <c r="D72" s="3" t="b">
        <v>0</v>
      </c>
      <c r="E72" s="3" t="b">
        <v>1</v>
      </c>
      <c r="F72" s="3" t="s">
        <v>690</v>
      </c>
      <c r="G72" s="3" t="s">
        <v>692</v>
      </c>
    </row>
    <row r="73" spans="1:7" ht="12.75" x14ac:dyDescent="0.2">
      <c r="A73" s="3" t="s">
        <v>223</v>
      </c>
      <c r="B73" s="3" t="b">
        <v>1</v>
      </c>
      <c r="C73" s="3" t="b">
        <v>0</v>
      </c>
      <c r="D73" s="3" t="b">
        <v>0</v>
      </c>
      <c r="E73" s="3" t="b">
        <v>0</v>
      </c>
      <c r="F73" s="3" t="s">
        <v>690</v>
      </c>
      <c r="G73" s="3" t="s">
        <v>696</v>
      </c>
    </row>
    <row r="74" spans="1:7" ht="12.75" x14ac:dyDescent="0.2">
      <c r="A74" s="3" t="s">
        <v>226</v>
      </c>
      <c r="B74" s="3" t="b">
        <v>1</v>
      </c>
      <c r="C74" s="3" t="b">
        <v>0</v>
      </c>
      <c r="D74" s="3" t="b">
        <v>1</v>
      </c>
      <c r="E74" s="3" t="b">
        <v>0</v>
      </c>
      <c r="F74" s="3" t="s">
        <v>689</v>
      </c>
      <c r="G74" s="3" t="s">
        <v>696</v>
      </c>
    </row>
    <row r="75" spans="1:7" ht="15" x14ac:dyDescent="0.25">
      <c r="A75" s="1" t="s">
        <v>229</v>
      </c>
      <c r="B75" s="3" t="b">
        <v>1</v>
      </c>
      <c r="C75" s="3" t="b">
        <v>0</v>
      </c>
      <c r="D75" s="3" t="b">
        <v>0</v>
      </c>
      <c r="E75" s="3" t="b">
        <v>1</v>
      </c>
      <c r="F75" s="3" t="s">
        <v>590</v>
      </c>
      <c r="G75" s="3" t="s">
        <v>703</v>
      </c>
    </row>
    <row r="76" spans="1:7" ht="15" x14ac:dyDescent="0.25">
      <c r="A76" s="1" t="s">
        <v>232</v>
      </c>
      <c r="B76" s="3" t="b">
        <v>1</v>
      </c>
      <c r="C76" s="3" t="b">
        <v>0</v>
      </c>
      <c r="D76" s="3" t="b">
        <v>0</v>
      </c>
      <c r="E76" s="3" t="b">
        <v>1</v>
      </c>
      <c r="F76" s="3" t="s">
        <v>590</v>
      </c>
      <c r="G76" s="3" t="s">
        <v>694</v>
      </c>
    </row>
    <row r="77" spans="1:7" ht="15" x14ac:dyDescent="0.25">
      <c r="A77" s="1" t="s">
        <v>233</v>
      </c>
      <c r="B77" s="3" t="b">
        <v>1</v>
      </c>
      <c r="C77" s="3" t="b">
        <v>0</v>
      </c>
      <c r="D77" s="3" t="b">
        <v>0</v>
      </c>
      <c r="E77" s="3" t="b">
        <v>1</v>
      </c>
      <c r="F77" s="3" t="s">
        <v>689</v>
      </c>
      <c r="G77" s="3" t="s">
        <v>699</v>
      </c>
    </row>
    <row r="78" spans="1:7" ht="15" x14ac:dyDescent="0.25">
      <c r="A78" s="1" t="s">
        <v>237</v>
      </c>
      <c r="B78" s="3" t="b">
        <v>1</v>
      </c>
      <c r="C78" s="3" t="b">
        <v>0</v>
      </c>
      <c r="D78" s="3" t="b">
        <v>0</v>
      </c>
      <c r="E78" s="3" t="b">
        <v>1</v>
      </c>
      <c r="F78" s="3" t="s">
        <v>689</v>
      </c>
      <c r="G78" s="3" t="s">
        <v>699</v>
      </c>
    </row>
    <row r="79" spans="1:7" ht="15" x14ac:dyDescent="0.25">
      <c r="A79" s="1" t="s">
        <v>239</v>
      </c>
      <c r="B79" s="3" t="b">
        <v>1</v>
      </c>
      <c r="C79" s="3" t="b">
        <v>0</v>
      </c>
      <c r="D79" s="3" t="b">
        <v>0</v>
      </c>
      <c r="E79" s="3" t="b">
        <v>1</v>
      </c>
      <c r="F79" s="3" t="s">
        <v>689</v>
      </c>
      <c r="G79" s="3" t="s">
        <v>699</v>
      </c>
    </row>
    <row r="80" spans="1:7" ht="12.75" x14ac:dyDescent="0.2">
      <c r="A80" s="3" t="s">
        <v>243</v>
      </c>
      <c r="B80" s="3" t="b">
        <v>0</v>
      </c>
      <c r="C80" s="3" t="b">
        <v>0</v>
      </c>
      <c r="D80" s="3" t="b">
        <v>0</v>
      </c>
      <c r="E80" s="3" t="b">
        <v>1</v>
      </c>
      <c r="F80" s="3" t="s">
        <v>690</v>
      </c>
      <c r="G80" s="3" t="s">
        <v>696</v>
      </c>
    </row>
    <row r="81" spans="1:27" ht="15" x14ac:dyDescent="0.25">
      <c r="A81" s="1" t="s">
        <v>246</v>
      </c>
      <c r="B81" s="3" t="b">
        <v>0</v>
      </c>
      <c r="C81" s="3" t="b">
        <v>0</v>
      </c>
      <c r="D81" s="3" t="b">
        <v>0</v>
      </c>
      <c r="E81" s="3" t="b">
        <v>0</v>
      </c>
      <c r="F81" s="3" t="s">
        <v>688</v>
      </c>
      <c r="G81" s="3"/>
    </row>
    <row r="82" spans="1:27" ht="12.75" x14ac:dyDescent="0.2">
      <c r="A82" s="19" t="s">
        <v>248</v>
      </c>
      <c r="B82" s="19" t="b">
        <v>1</v>
      </c>
      <c r="C82" s="19" t="b">
        <v>0</v>
      </c>
      <c r="D82" s="19" t="b">
        <v>0</v>
      </c>
      <c r="E82" s="19" t="b">
        <v>0</v>
      </c>
      <c r="F82" s="19"/>
      <c r="G82" s="19"/>
      <c r="H82" s="19"/>
      <c r="I82" s="19"/>
      <c r="J82" s="19"/>
      <c r="K82" s="19"/>
      <c r="L82" s="19"/>
      <c r="M82" s="19"/>
      <c r="N82" s="19"/>
      <c r="O82" s="19"/>
      <c r="P82" s="19"/>
      <c r="Q82" s="19"/>
      <c r="R82" s="19"/>
      <c r="S82" s="19"/>
      <c r="T82" s="19"/>
      <c r="U82" s="19"/>
      <c r="V82" s="19"/>
      <c r="W82" s="19"/>
      <c r="X82" s="19"/>
      <c r="Y82" s="19"/>
      <c r="Z82" s="19"/>
      <c r="AA82" s="19"/>
    </row>
    <row r="83" spans="1:27" ht="12.75" x14ac:dyDescent="0.2">
      <c r="A83" s="3" t="s">
        <v>249</v>
      </c>
      <c r="B83" s="3" t="b">
        <v>0</v>
      </c>
      <c r="C83" s="3" t="b">
        <v>0</v>
      </c>
      <c r="D83" s="3" t="b">
        <v>0</v>
      </c>
      <c r="E83" s="3" t="b">
        <v>1</v>
      </c>
      <c r="F83" s="3" t="s">
        <v>688</v>
      </c>
      <c r="G83" s="3"/>
    </row>
    <row r="84" spans="1:27" ht="12.75" x14ac:dyDescent="0.2">
      <c r="A84" s="5" t="s">
        <v>250</v>
      </c>
      <c r="B84" s="3" t="b">
        <v>1</v>
      </c>
      <c r="C84" s="3" t="b">
        <v>0</v>
      </c>
      <c r="D84" s="3" t="b">
        <v>0</v>
      </c>
      <c r="E84" s="3" t="b">
        <v>1</v>
      </c>
      <c r="F84" s="3" t="s">
        <v>689</v>
      </c>
      <c r="G84" s="3" t="s">
        <v>692</v>
      </c>
    </row>
    <row r="85" spans="1:27" ht="12.75" x14ac:dyDescent="0.2">
      <c r="A85" s="5" t="s">
        <v>252</v>
      </c>
      <c r="B85" s="3" t="b">
        <v>1</v>
      </c>
      <c r="C85" s="3" t="b">
        <v>0</v>
      </c>
      <c r="D85" s="3" t="b">
        <v>0</v>
      </c>
      <c r="E85" s="3" t="b">
        <v>1</v>
      </c>
      <c r="F85" s="3" t="s">
        <v>689</v>
      </c>
      <c r="G85" s="3" t="s">
        <v>699</v>
      </c>
    </row>
    <row r="86" spans="1:27" ht="12.75" x14ac:dyDescent="0.2">
      <c r="A86" s="5" t="s">
        <v>254</v>
      </c>
      <c r="B86" s="3" t="b">
        <v>1</v>
      </c>
      <c r="C86" s="3" t="b">
        <v>0</v>
      </c>
      <c r="D86" s="3" t="b">
        <v>0</v>
      </c>
      <c r="E86" s="3" t="b">
        <v>1</v>
      </c>
      <c r="F86" s="3" t="s">
        <v>590</v>
      </c>
      <c r="G86" s="3" t="s">
        <v>697</v>
      </c>
    </row>
    <row r="87" spans="1:27" ht="12.75" x14ac:dyDescent="0.2">
      <c r="A87" s="19" t="s">
        <v>256</v>
      </c>
      <c r="B87" s="19" t="b">
        <v>0</v>
      </c>
      <c r="C87" s="19" t="b">
        <v>0</v>
      </c>
      <c r="D87" s="19" t="b">
        <v>0</v>
      </c>
      <c r="E87" s="19" t="b">
        <v>0</v>
      </c>
      <c r="F87" s="19"/>
      <c r="G87" s="19"/>
      <c r="H87" s="19"/>
      <c r="I87" s="19"/>
      <c r="J87" s="19"/>
      <c r="K87" s="19"/>
      <c r="L87" s="19"/>
      <c r="M87" s="19"/>
      <c r="N87" s="19"/>
      <c r="O87" s="19"/>
      <c r="P87" s="19"/>
      <c r="Q87" s="19"/>
      <c r="R87" s="19"/>
      <c r="S87" s="19"/>
      <c r="T87" s="19"/>
      <c r="U87" s="19"/>
      <c r="V87" s="19"/>
      <c r="W87" s="19"/>
      <c r="X87" s="19"/>
      <c r="Y87" s="19"/>
      <c r="Z87" s="19"/>
      <c r="AA87" s="19"/>
    </row>
    <row r="88" spans="1:27" ht="15" x14ac:dyDescent="0.25">
      <c r="A88" s="1" t="s">
        <v>257</v>
      </c>
      <c r="B88" s="3" t="b">
        <v>1</v>
      </c>
      <c r="C88" s="3" t="b">
        <v>0</v>
      </c>
      <c r="D88" s="3" t="b">
        <v>0</v>
      </c>
      <c r="E88" s="3" t="b">
        <v>1</v>
      </c>
      <c r="F88" s="3" t="s">
        <v>689</v>
      </c>
      <c r="G88" s="3" t="s">
        <v>698</v>
      </c>
    </row>
    <row r="89" spans="1:27" ht="15" x14ac:dyDescent="0.25">
      <c r="A89" s="1" t="s">
        <v>260</v>
      </c>
      <c r="B89" s="3" t="b">
        <v>0</v>
      </c>
      <c r="C89" s="3" t="b">
        <v>0</v>
      </c>
      <c r="D89" s="3" t="b">
        <v>0</v>
      </c>
      <c r="E89" s="3" t="b">
        <v>0</v>
      </c>
      <c r="F89" s="3" t="s">
        <v>688</v>
      </c>
      <c r="G89" s="3"/>
    </row>
    <row r="90" spans="1:27" ht="15" x14ac:dyDescent="0.25">
      <c r="A90" s="1" t="s">
        <v>262</v>
      </c>
      <c r="B90" s="3" t="b">
        <v>1</v>
      </c>
      <c r="C90" s="3" t="b">
        <v>0</v>
      </c>
      <c r="D90" s="3" t="b">
        <v>0</v>
      </c>
      <c r="E90" s="3" t="b">
        <v>1</v>
      </c>
      <c r="F90" s="3" t="s">
        <v>590</v>
      </c>
      <c r="G90" s="3"/>
    </row>
    <row r="91" spans="1:27" ht="12.75" x14ac:dyDescent="0.2">
      <c r="A91" s="3" t="s">
        <v>264</v>
      </c>
      <c r="B91" s="3" t="b">
        <v>1</v>
      </c>
      <c r="C91" s="3" t="b">
        <v>0</v>
      </c>
      <c r="D91" s="3" t="b">
        <v>1</v>
      </c>
      <c r="E91" s="3" t="b">
        <v>0</v>
      </c>
      <c r="F91" s="3" t="s">
        <v>689</v>
      </c>
      <c r="G91" s="3" t="s">
        <v>694</v>
      </c>
    </row>
    <row r="92" spans="1:27" ht="12.75" x14ac:dyDescent="0.2">
      <c r="A92" s="3" t="s">
        <v>266</v>
      </c>
      <c r="B92" s="3" t="b">
        <v>1</v>
      </c>
      <c r="C92" s="3" t="b">
        <v>1</v>
      </c>
      <c r="D92" s="3" t="b">
        <v>0</v>
      </c>
      <c r="E92" s="3" t="b">
        <v>0</v>
      </c>
      <c r="F92" s="3" t="s">
        <v>690</v>
      </c>
      <c r="G92" s="3" t="s">
        <v>692</v>
      </c>
    </row>
    <row r="93" spans="1:27" ht="12.75" x14ac:dyDescent="0.2">
      <c r="A93" s="19" t="s">
        <v>271</v>
      </c>
      <c r="B93" s="19" t="b">
        <v>1</v>
      </c>
      <c r="C93" s="19" t="b">
        <v>1</v>
      </c>
      <c r="D93" s="19" t="b">
        <v>0</v>
      </c>
      <c r="E93" s="19" t="b">
        <v>0</v>
      </c>
      <c r="F93" s="19"/>
      <c r="G93" s="19"/>
      <c r="H93" s="19"/>
      <c r="I93" s="19"/>
      <c r="J93" s="19"/>
      <c r="K93" s="19"/>
      <c r="L93" s="19"/>
      <c r="M93" s="19"/>
      <c r="N93" s="19"/>
      <c r="O93" s="19"/>
      <c r="P93" s="19"/>
      <c r="Q93" s="19"/>
      <c r="R93" s="19"/>
      <c r="S93" s="19"/>
      <c r="T93" s="19"/>
      <c r="U93" s="19"/>
      <c r="V93" s="19"/>
      <c r="W93" s="19"/>
      <c r="X93" s="19"/>
      <c r="Y93" s="19"/>
      <c r="Z93" s="19"/>
      <c r="AA93" s="19"/>
    </row>
    <row r="94" spans="1:27" ht="12.75" x14ac:dyDescent="0.2">
      <c r="A94" s="3" t="s">
        <v>273</v>
      </c>
      <c r="B94" s="3" t="b">
        <v>0</v>
      </c>
      <c r="C94" s="3" t="b">
        <v>0</v>
      </c>
      <c r="D94" s="3" t="b">
        <v>0</v>
      </c>
      <c r="E94" s="3" t="b">
        <v>1</v>
      </c>
      <c r="F94" s="3" t="s">
        <v>590</v>
      </c>
      <c r="G94" s="3" t="s">
        <v>698</v>
      </c>
    </row>
    <row r="95" spans="1:27" ht="12.75" x14ac:dyDescent="0.2">
      <c r="A95" s="3" t="s">
        <v>276</v>
      </c>
      <c r="B95" s="3" t="b">
        <v>0</v>
      </c>
      <c r="C95" s="3" t="b">
        <v>0</v>
      </c>
      <c r="D95" s="3" t="b">
        <v>0</v>
      </c>
      <c r="E95" s="3" t="b">
        <v>0</v>
      </c>
      <c r="F95" s="3" t="s">
        <v>688</v>
      </c>
      <c r="G95" s="3"/>
    </row>
    <row r="96" spans="1:27" ht="15" x14ac:dyDescent="0.25">
      <c r="A96" s="1" t="s">
        <v>279</v>
      </c>
      <c r="B96" s="3" t="b">
        <v>1</v>
      </c>
      <c r="C96" s="3" t="b">
        <v>0</v>
      </c>
      <c r="D96" s="3" t="b">
        <v>0</v>
      </c>
      <c r="E96" s="3" t="b">
        <v>0</v>
      </c>
      <c r="F96" s="3" t="s">
        <v>690</v>
      </c>
      <c r="G96" s="3" t="s">
        <v>699</v>
      </c>
    </row>
    <row r="97" spans="1:27" ht="12.75" x14ac:dyDescent="0.2">
      <c r="A97" s="3" t="s">
        <v>283</v>
      </c>
      <c r="B97" s="3" t="b">
        <v>1</v>
      </c>
      <c r="C97" s="3" t="b">
        <v>1</v>
      </c>
      <c r="D97" s="3" t="b">
        <v>1</v>
      </c>
      <c r="E97" s="3" t="b">
        <v>0</v>
      </c>
      <c r="F97" s="3" t="s">
        <v>690</v>
      </c>
      <c r="G97" s="3" t="s">
        <v>699</v>
      </c>
    </row>
    <row r="98" spans="1:27" ht="12.75" x14ac:dyDescent="0.2">
      <c r="A98" s="3" t="s">
        <v>287</v>
      </c>
      <c r="B98" s="3" t="b">
        <v>0</v>
      </c>
      <c r="C98" s="3" t="b">
        <v>0</v>
      </c>
      <c r="D98" s="3" t="b">
        <v>0</v>
      </c>
      <c r="E98" s="3" t="b">
        <v>1</v>
      </c>
      <c r="F98" s="3" t="s">
        <v>690</v>
      </c>
      <c r="G98" s="3" t="s">
        <v>695</v>
      </c>
    </row>
    <row r="99" spans="1:27" ht="12.75" x14ac:dyDescent="0.2">
      <c r="A99" s="3" t="s">
        <v>288</v>
      </c>
      <c r="B99" s="3" t="b">
        <v>0</v>
      </c>
      <c r="C99" s="3" t="b">
        <v>0</v>
      </c>
      <c r="D99" s="3" t="b">
        <v>0</v>
      </c>
      <c r="E99" s="3" t="b">
        <v>0</v>
      </c>
      <c r="F99" s="3" t="s">
        <v>690</v>
      </c>
      <c r="G99" s="3" t="s">
        <v>699</v>
      </c>
    </row>
    <row r="100" spans="1:27" ht="12.75" x14ac:dyDescent="0.2">
      <c r="A100" s="3" t="s">
        <v>289</v>
      </c>
      <c r="B100" s="3" t="b">
        <v>0</v>
      </c>
      <c r="C100" s="3" t="b">
        <v>0</v>
      </c>
      <c r="D100" s="3" t="b">
        <v>0</v>
      </c>
      <c r="E100" s="3" t="b">
        <v>0</v>
      </c>
      <c r="F100" s="3" t="s">
        <v>689</v>
      </c>
      <c r="G100" s="3" t="s">
        <v>692</v>
      </c>
    </row>
    <row r="101" spans="1:27" ht="12.75" x14ac:dyDescent="0.2">
      <c r="A101" s="3" t="s">
        <v>291</v>
      </c>
      <c r="B101" s="3" t="b">
        <v>0</v>
      </c>
      <c r="C101" s="3" t="b">
        <v>0</v>
      </c>
      <c r="D101" s="3" t="b">
        <v>0</v>
      </c>
      <c r="E101" s="3" t="b">
        <v>0</v>
      </c>
      <c r="F101" s="3" t="s">
        <v>590</v>
      </c>
      <c r="G101" s="3" t="s">
        <v>694</v>
      </c>
    </row>
    <row r="102" spans="1:27" ht="12.75" x14ac:dyDescent="0.2">
      <c r="A102" s="3" t="s">
        <v>292</v>
      </c>
      <c r="B102" s="3" t="b">
        <v>1</v>
      </c>
      <c r="C102" s="3" t="b">
        <v>0</v>
      </c>
      <c r="D102" s="3" t="b">
        <v>0</v>
      </c>
      <c r="E102" s="3" t="b">
        <v>0</v>
      </c>
      <c r="F102" s="3" t="s">
        <v>689</v>
      </c>
      <c r="G102" s="3" t="s">
        <v>696</v>
      </c>
    </row>
    <row r="103" spans="1:27" ht="15" x14ac:dyDescent="0.25">
      <c r="A103" s="20" t="s">
        <v>293</v>
      </c>
      <c r="B103" s="21" t="b">
        <v>1</v>
      </c>
      <c r="C103" s="21" t="b">
        <v>1</v>
      </c>
      <c r="D103" s="21" t="b">
        <v>0</v>
      </c>
      <c r="E103" s="21" t="b">
        <v>1</v>
      </c>
      <c r="F103" s="21" t="s">
        <v>690</v>
      </c>
      <c r="G103" s="21" t="s">
        <v>695</v>
      </c>
      <c r="H103" s="21"/>
      <c r="I103" s="21"/>
      <c r="J103" s="21"/>
      <c r="K103" s="21"/>
      <c r="L103" s="21"/>
      <c r="M103" s="21"/>
      <c r="N103" s="21"/>
      <c r="O103" s="21"/>
      <c r="P103" s="21"/>
      <c r="Q103" s="21"/>
      <c r="R103" s="21"/>
      <c r="S103" s="21"/>
      <c r="T103" s="21"/>
      <c r="U103" s="21"/>
      <c r="V103" s="21"/>
      <c r="W103" s="21"/>
      <c r="X103" s="21"/>
      <c r="Y103" s="21"/>
      <c r="Z103" s="21"/>
      <c r="AA103" s="21"/>
    </row>
    <row r="104" spans="1:27" ht="12.75" x14ac:dyDescent="0.2">
      <c r="A104" s="3" t="s">
        <v>704</v>
      </c>
      <c r="B104" s="16">
        <f t="shared" ref="B104:E104" si="1">COUNTIF(B2:B103, TRUE)</f>
        <v>49</v>
      </c>
      <c r="C104" s="16">
        <f t="shared" si="1"/>
        <v>30</v>
      </c>
      <c r="D104" s="16">
        <f t="shared" si="1"/>
        <v>10</v>
      </c>
      <c r="E104" s="16">
        <f t="shared" si="1"/>
        <v>22</v>
      </c>
    </row>
    <row r="105" spans="1:27" ht="12.75" x14ac:dyDescent="0.2">
      <c r="A105" s="3" t="s">
        <v>705</v>
      </c>
      <c r="B105" s="17">
        <f t="shared" ref="B105:E105" si="2">B104/102</f>
        <v>0.48039215686274511</v>
      </c>
      <c r="C105" s="17">
        <f t="shared" si="2"/>
        <v>0.29411764705882354</v>
      </c>
      <c r="D105" s="17">
        <f t="shared" si="2"/>
        <v>9.8039215686274508E-2</v>
      </c>
      <c r="E105" s="17">
        <f t="shared" si="2"/>
        <v>0.21568627450980393</v>
      </c>
    </row>
  </sheetData>
  <dataValidations count="2">
    <dataValidation type="list" allowBlank="1" showErrorMessage="1" sqref="G2:G103" xr:uid="{00000000-0002-0000-0500-000000000000}">
      <formula1>"unconstraint entity,implicit knowledge,imprecise property,simple representation,qualitative variable,constrained constraint,wrong position of constraint,missing matrix,matrix vs constraint,missing requirement"</formula1>
    </dataValidation>
    <dataValidation type="list" allowBlank="1" showErrorMessage="1" sqref="F2:F103" xr:uid="{00000000-0002-0000-0500-000001000000}">
      <formula1>"good,acceptable,weak,wrong"</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reviews</vt:lpstr>
      <vt:lpstr>2 domain statistics</vt:lpstr>
      <vt:lpstr>3 review_analysis</vt:lpstr>
      <vt:lpstr>4 LLM_output</vt:lpstr>
      <vt:lpstr>5 evaluation property</vt:lpstr>
      <vt:lpstr>6 evaluation variable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Barbara Magagna</cp:lastModifiedBy>
  <dcterms:modified xsi:type="dcterms:W3CDTF">2025-12-31T01:43:17Z</dcterms:modified>
</cp:coreProperties>
</file>